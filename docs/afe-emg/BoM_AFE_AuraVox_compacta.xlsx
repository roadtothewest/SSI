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compac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BoM compacta AFE sEMG AuraVox (4 canales, incluye repuesto). Detalle por modulo en BoM_AFE_AuraVox.xlsx</t>
        </is>
      </c>
    </row>
    <row r="3">
      <c r="A3" s="2" t="inlineStr">
        <is>
          <t>Valor / parte</t>
        </is>
      </c>
      <c r="B3" s="2" t="inlineStr">
        <is>
          <t>Cantidad</t>
        </is>
      </c>
      <c r="C3" s="2" t="inlineStr">
        <is>
          <t>Componente</t>
        </is>
      </c>
      <c r="D3" s="2" t="inlineStr">
        <is>
          <t>Precio unit. (CLP)</t>
        </is>
      </c>
      <c r="E3" s="2" t="inlineStr">
        <is>
          <t>Subtotal (CLP)</t>
        </is>
      </c>
      <c r="F3" s="2" t="inlineStr">
        <is>
          <t>Comprado</t>
        </is>
      </c>
    </row>
    <row r="4">
      <c r="A4" s="3" t="inlineStr">
        <is>
          <t>SOIC14 a DIP14</t>
        </is>
      </c>
      <c r="B4" s="3" t="n">
        <v>7</v>
      </c>
      <c r="C4" s="3" t="inlineStr">
        <is>
          <t>Adaptador SOIC-14 a DIP-14</t>
        </is>
      </c>
      <c r="D4" s="4" t="n"/>
      <c r="E4" s="5">
        <f>IF(D4="","",B4*D4)</f>
        <v/>
      </c>
      <c r="F4" s="6" t="n"/>
    </row>
    <row r="5">
      <c r="A5" s="3" t="inlineStr">
        <is>
          <t>Alcohol isopropilico / gel</t>
        </is>
      </c>
      <c r="B5" s="3" t="n">
        <v>1</v>
      </c>
      <c r="C5" s="3" t="inlineStr">
        <is>
          <t>Alcohol isopropilico / gel</t>
        </is>
      </c>
      <c r="D5" s="4" t="n"/>
      <c r="E5" s="5">
        <f>IF(D5="","",B5*D5)</f>
        <v/>
      </c>
      <c r="F5" s="6" t="n"/>
    </row>
    <row r="6">
      <c r="A6" s="3" t="inlineStr">
        <is>
          <t>jumper Dupont</t>
        </is>
      </c>
      <c r="B6" s="3" t="n">
        <v>6</v>
      </c>
      <c r="C6" s="3" t="inlineStr">
        <is>
          <t>Cable a Arduino A1..A4 del STM32N6570-DK</t>
        </is>
      </c>
      <c r="D6" s="4" t="n"/>
      <c r="E6" s="5">
        <f>IF(D6="","",B6*D6)</f>
        <v/>
      </c>
      <c r="F6" s="6" t="n"/>
    </row>
    <row r="7">
      <c r="A7" s="3" t="inlineStr">
        <is>
          <t>broche 4 mm</t>
        </is>
      </c>
      <c r="B7" s="3" t="n">
        <v>10</v>
      </c>
      <c r="C7" s="3" t="inlineStr">
        <is>
          <t>Cable con broche (snap) para electrodo</t>
        </is>
      </c>
      <c r="D7" s="4" t="n"/>
      <c r="E7" s="5">
        <f>IF(D7="","",B7*D7)</f>
        <v/>
      </c>
      <c r="F7" s="6" t="n"/>
    </row>
    <row r="8">
      <c r="A8" s="3" t="inlineStr">
        <is>
          <t>24 AWG rigido</t>
        </is>
      </c>
      <c r="B8" s="3" t="n">
        <v>1</v>
      </c>
      <c r="C8" s="3" t="inlineStr">
        <is>
          <t>Cable para puentes</t>
        </is>
      </c>
      <c r="D8" s="4" t="n"/>
      <c r="E8" s="5">
        <f>IF(D8="","",B8*D8)</f>
        <v/>
      </c>
      <c r="F8" s="6" t="n"/>
    </row>
    <row r="9">
      <c r="A9" s="3" t="inlineStr">
        <is>
          <t>3M Red Dot 2228/2560</t>
        </is>
      </c>
      <c r="B9" s="3" t="n">
        <v>50</v>
      </c>
      <c r="C9" s="3" t="inlineStr">
        <is>
          <t>Electrodo Ag/AgCl con broche</t>
        </is>
      </c>
      <c r="D9" s="4" t="n"/>
      <c r="E9" s="5">
        <f>IF(D9="","",B9*D9)</f>
        <v/>
      </c>
      <c r="F9" s="6" t="n"/>
    </row>
    <row r="10">
      <c r="A10" s="3" t="inlineStr">
        <is>
          <t>INA333 modulo MCU-333</t>
        </is>
      </c>
      <c r="B10" s="3" t="n">
        <v>5</v>
      </c>
      <c r="C10" s="3" t="inlineStr">
        <is>
          <t>INA333 (modulo MCU-333)</t>
        </is>
      </c>
      <c r="D10" s="4" t="n"/>
      <c r="E10" s="5">
        <f>IF(D10="","",B10*D10)</f>
        <v/>
      </c>
      <c r="F10" s="6" t="n"/>
    </row>
    <row r="11">
      <c r="A11" s="3" t="inlineStr">
        <is>
          <t>deslizante</t>
        </is>
      </c>
      <c r="B11" s="3" t="n">
        <v>1</v>
      </c>
      <c r="C11" s="3" t="inlineStr">
        <is>
          <t>Interruptor</t>
        </is>
      </c>
      <c r="D11" s="4" t="n"/>
      <c r="E11" s="5">
        <f>IF(D11="","",B11*D11)</f>
        <v/>
      </c>
      <c r="F11" s="6" t="n"/>
    </row>
    <row r="12">
      <c r="A12" s="3" t="inlineStr">
        <is>
          <t>MCP6004-I/SL</t>
        </is>
      </c>
      <c r="B12" s="3" t="n">
        <v>10</v>
      </c>
      <c r="C12" s="3" t="inlineStr">
        <is>
          <t>Op-amp cuadruple MCP6004</t>
        </is>
      </c>
      <c r="D12" s="4" t="n"/>
      <c r="E12" s="5">
        <f>IF(D12="","",B12*D12)</f>
        <v/>
      </c>
      <c r="F12" s="6" t="n"/>
    </row>
    <row r="13">
      <c r="A13" s="3" t="inlineStr">
        <is>
          <t>10 x 15 cm</t>
        </is>
      </c>
      <c r="B13" s="3" t="n">
        <v>2</v>
      </c>
      <c r="C13" s="3" t="inlineStr">
        <is>
          <t>Perfboard</t>
        </is>
      </c>
      <c r="D13" s="4" t="n"/>
      <c r="E13" s="5">
        <f>IF(D13="","",B13*D13)</f>
        <v/>
      </c>
      <c r="F13" s="6" t="n"/>
    </row>
    <row r="14">
      <c r="A14" s="3" t="inlineStr">
        <is>
          <t>AA</t>
        </is>
      </c>
      <c r="B14" s="3" t="n">
        <v>6</v>
      </c>
      <c r="C14" s="3" t="inlineStr">
        <is>
          <t>Pilas AA</t>
        </is>
      </c>
      <c r="D14" s="4" t="n"/>
      <c r="E14" s="5">
        <f>IF(D14="","",B14*D14)</f>
        <v/>
      </c>
      <c r="F14" s="6" t="n"/>
    </row>
    <row r="15">
      <c r="A15" s="3" t="inlineStr">
        <is>
          <t>3xAA</t>
        </is>
      </c>
      <c r="B15" s="3" t="n">
        <v>1</v>
      </c>
      <c r="C15" s="3" t="inlineStr">
        <is>
          <t>Portapilas 3 x AA</t>
        </is>
      </c>
      <c r="D15" s="4" t="n"/>
      <c r="E15" s="5">
        <f>IF(D15="","",B15*D15)</f>
        <v/>
      </c>
      <c r="F15" s="6" t="n"/>
    </row>
    <row r="16">
      <c r="A16" s="3" t="inlineStr">
        <is>
          <t>MCP1700-3302E TO-92</t>
        </is>
      </c>
      <c r="B16" s="3" t="n">
        <v>2</v>
      </c>
      <c r="C16" s="3" t="inlineStr">
        <is>
          <t>Regulador LDO 3.3 V</t>
        </is>
      </c>
      <c r="D16" s="4" t="n"/>
      <c r="E16" s="5">
        <f>IF(D16="","",B16*D16)</f>
        <v/>
      </c>
      <c r="F16" s="6" t="n"/>
    </row>
    <row r="17">
      <c r="A17" s="3" t="inlineStr">
        <is>
          <t>2.54 mm</t>
        </is>
      </c>
      <c r="B17" s="3" t="n">
        <v>3</v>
      </c>
      <c r="C17" s="3" t="inlineStr">
        <is>
          <t>Tira de headers macho/hembra</t>
        </is>
      </c>
      <c r="D17" s="4" t="n"/>
      <c r="E17" s="5">
        <f>IF(D17="","",B17*D17)</f>
        <v/>
      </c>
      <c r="F17" s="6" t="n"/>
    </row>
    <row r="18">
      <c r="A18" s="3" t="inlineStr">
        <is>
          <t>25k multivuelta</t>
        </is>
      </c>
      <c r="B18" s="3" t="n">
        <v>5</v>
      </c>
      <c r="C18" s="3" t="inlineStr">
        <is>
          <t>Trimmer de ganancia por sitio de medicion</t>
        </is>
      </c>
      <c r="D18" s="4" t="n"/>
      <c r="E18" s="5">
        <f>IF(D18="","",B18*D18)</f>
        <v/>
      </c>
      <c r="F18" s="6" t="n"/>
    </row>
    <row r="19">
      <c r="A19" s="3" t="inlineStr">
        <is>
          <t>DIP-14</t>
        </is>
      </c>
      <c r="B19" s="3" t="n">
        <v>7</v>
      </c>
      <c r="C19" s="3" t="inlineStr">
        <is>
          <t>Zocalo DIP-14</t>
        </is>
      </c>
      <c r="D19" s="4" t="n"/>
      <c r="E19" s="5">
        <f>IF(D19="","",B19*D19)</f>
        <v/>
      </c>
      <c r="F19" s="6" t="n"/>
    </row>
    <row r="20">
      <c r="A20" s="3" t="inlineStr">
        <is>
          <t>100p</t>
        </is>
      </c>
      <c r="B20" s="3" t="n">
        <v>5</v>
      </c>
      <c r="C20" s="3" t="inlineStr">
        <is>
          <t>cond. ceramico C0G</t>
        </is>
      </c>
      <c r="D20" s="4" t="n"/>
      <c r="E20" s="5">
        <f>IF(D20="","",B20*D20)</f>
        <v/>
      </c>
      <c r="F20" s="6" t="n"/>
    </row>
    <row r="21">
      <c r="A21" s="3" t="inlineStr">
        <is>
          <t>1n</t>
        </is>
      </c>
      <c r="B21" s="3" t="n">
        <v>7</v>
      </c>
      <c r="C21" s="3" t="inlineStr">
        <is>
          <t>cond. ceramico C0G</t>
        </is>
      </c>
      <c r="D21" s="4" t="n"/>
      <c r="E21" s="5">
        <f>IF(D21="","",B21*D21)</f>
        <v/>
      </c>
      <c r="F21" s="6" t="n"/>
    </row>
    <row r="22">
      <c r="A22" s="3" t="inlineStr">
        <is>
          <t>47p</t>
        </is>
      </c>
      <c r="B22" s="3" t="n">
        <v>10</v>
      </c>
      <c r="C22" s="3" t="inlineStr">
        <is>
          <t>cond. ceramico C0G</t>
        </is>
      </c>
      <c r="D22" s="4" t="n"/>
      <c r="E22" s="5">
        <f>IF(D22="","",B22*D22)</f>
        <v/>
      </c>
      <c r="F22" s="6" t="n"/>
    </row>
    <row r="23">
      <c r="A23" s="3" t="inlineStr">
        <is>
          <t>100n</t>
        </is>
      </c>
      <c r="B23" s="3" t="n">
        <v>13</v>
      </c>
      <c r="C23" s="3" t="inlineStr">
        <is>
          <t>cond. ceramico/electrolitico</t>
        </is>
      </c>
      <c r="D23" s="4" t="n"/>
      <c r="E23" s="5">
        <f>IF(D23="","",B23*D23)</f>
        <v/>
      </c>
      <c r="F23" s="6" t="n"/>
    </row>
    <row r="24">
      <c r="A24" s="3" t="inlineStr">
        <is>
          <t>10u</t>
        </is>
      </c>
      <c r="B24" s="3" t="n">
        <v>8</v>
      </c>
      <c r="C24" s="3" t="inlineStr">
        <is>
          <t>cond. ceramico/electrolitico</t>
        </is>
      </c>
      <c r="D24" s="4" t="n"/>
      <c r="E24" s="5">
        <f>IF(D24="","",B24*D24)</f>
        <v/>
      </c>
      <c r="F24" s="6" t="n"/>
    </row>
    <row r="25">
      <c r="A25" s="3" t="inlineStr">
        <is>
          <t>1u</t>
        </is>
      </c>
      <c r="B25" s="3" t="n">
        <v>3</v>
      </c>
      <c r="C25" s="3" t="inlineStr">
        <is>
          <t>cond. ceramico/electrolitico</t>
        </is>
      </c>
      <c r="D25" s="4" t="n"/>
      <c r="E25" s="5">
        <f>IF(D25="","",B25*D25)</f>
        <v/>
      </c>
      <c r="F25" s="6" t="n"/>
    </row>
    <row r="26">
      <c r="A26" s="3" t="inlineStr">
        <is>
          <t>100n</t>
        </is>
      </c>
      <c r="B26" s="3" t="n">
        <v>10</v>
      </c>
      <c r="C26" s="3" t="inlineStr">
        <is>
          <t>cond. poliester (film)</t>
        </is>
      </c>
      <c r="D26" s="4" t="n"/>
      <c r="E26" s="5">
        <f>IF(D26="","",B26*D26)</f>
        <v/>
      </c>
      <c r="F26" s="6" t="n"/>
    </row>
    <row r="27">
      <c r="A27" s="3" t="inlineStr">
        <is>
          <t>15n</t>
        </is>
      </c>
      <c r="B27" s="3" t="n">
        <v>5</v>
      </c>
      <c r="C27" s="3" t="inlineStr">
        <is>
          <t>cond. poliester o C0G</t>
        </is>
      </c>
      <c r="D27" s="4" t="n"/>
      <c r="E27" s="5">
        <f>IF(D27="","",B27*D27)</f>
        <v/>
      </c>
      <c r="F27" s="6" t="n"/>
    </row>
    <row r="28">
      <c r="A28" s="3" t="inlineStr">
        <is>
          <t>2.2n</t>
        </is>
      </c>
      <c r="B28" s="3" t="n">
        <v>5</v>
      </c>
      <c r="C28" s="3" t="inlineStr">
        <is>
          <t>cond. poliester o C0G</t>
        </is>
      </c>
      <c r="D28" s="4" t="n"/>
      <c r="E28" s="5">
        <f>IF(D28="","",B28*D28)</f>
        <v/>
      </c>
      <c r="F28" s="6" t="n"/>
    </row>
    <row r="29">
      <c r="A29" s="3" t="inlineStr">
        <is>
          <t>3.3n</t>
        </is>
      </c>
      <c r="B29" s="3" t="n">
        <v>5</v>
      </c>
      <c r="C29" s="3" t="inlineStr">
        <is>
          <t>cond. poliester o C0G</t>
        </is>
      </c>
      <c r="D29" s="4" t="n"/>
      <c r="E29" s="5">
        <f>IF(D29="","",B29*D29)</f>
        <v/>
      </c>
      <c r="F29" s="6" t="n"/>
    </row>
    <row r="30">
      <c r="A30" s="3" t="inlineStr">
        <is>
          <t>3.9n</t>
        </is>
      </c>
      <c r="B30" s="3" t="n">
        <v>5</v>
      </c>
      <c r="C30" s="3" t="inlineStr">
        <is>
          <t>cond. poliester o C0G</t>
        </is>
      </c>
      <c r="D30" s="4" t="n"/>
      <c r="E30" s="5">
        <f>IF(D30="","",B30*D30)</f>
        <v/>
      </c>
      <c r="F30" s="6" t="n"/>
    </row>
    <row r="31">
      <c r="A31" s="3" t="inlineStr">
        <is>
          <t>1N4148</t>
        </is>
      </c>
      <c r="B31" s="3" t="n">
        <v>20</v>
      </c>
      <c r="C31" s="3" t="inlineStr">
        <is>
          <t>diodo</t>
        </is>
      </c>
      <c r="D31" s="4" t="n"/>
      <c r="E31" s="5">
        <f>IF(D31="","",B31*D31)</f>
        <v/>
      </c>
      <c r="F31" s="6" t="n"/>
    </row>
    <row r="32">
      <c r="A32" s="3" t="inlineStr">
        <is>
          <t>100</t>
        </is>
      </c>
      <c r="B32" s="3" t="n">
        <v>5</v>
      </c>
      <c r="C32" s="3" t="inlineStr">
        <is>
          <t>resistencia</t>
        </is>
      </c>
      <c r="D32" s="4" t="n"/>
      <c r="E32" s="5">
        <f>IF(D32="","",B32*D32)</f>
        <v/>
      </c>
      <c r="F32" s="6" t="n"/>
    </row>
    <row r="33">
      <c r="A33" s="3" t="inlineStr">
        <is>
          <t>100k</t>
        </is>
      </c>
      <c r="B33" s="3" t="n">
        <v>12</v>
      </c>
      <c r="C33" s="3" t="inlineStr">
        <is>
          <t>resistencia</t>
        </is>
      </c>
      <c r="D33" s="4" t="n"/>
      <c r="E33" s="5">
        <f>IF(D33="","",B33*D33)</f>
        <v/>
      </c>
      <c r="F33" s="6" t="n"/>
    </row>
    <row r="34">
      <c r="A34" s="3" t="inlineStr">
        <is>
          <t>10M</t>
        </is>
      </c>
      <c r="B34" s="3" t="n">
        <v>2</v>
      </c>
      <c r="C34" s="3" t="inlineStr">
        <is>
          <t>resistencia</t>
        </is>
      </c>
      <c r="D34" s="4" t="n"/>
      <c r="E34" s="5">
        <f>IF(D34="","",B34*D34)</f>
        <v/>
      </c>
      <c r="F34" s="6" t="n"/>
    </row>
    <row r="35">
      <c r="A35" s="3" t="inlineStr">
        <is>
          <t>110k</t>
        </is>
      </c>
      <c r="B35" s="3" t="n">
        <v>5</v>
      </c>
      <c r="C35" s="3" t="inlineStr">
        <is>
          <t>resistencia</t>
        </is>
      </c>
      <c r="D35" s="4" t="n"/>
      <c r="E35" s="5">
        <f>IF(D35="","",B35*D35)</f>
        <v/>
      </c>
      <c r="F35" s="6" t="n"/>
    </row>
    <row r="36">
      <c r="A36" s="3" t="inlineStr">
        <is>
          <t>1k</t>
        </is>
      </c>
      <c r="B36" s="3" t="n">
        <v>10</v>
      </c>
      <c r="C36" s="3" t="inlineStr">
        <is>
          <t>resistencia</t>
        </is>
      </c>
      <c r="D36" s="4" t="n"/>
      <c r="E36" s="5">
        <f>IF(D36="","",B36*D36)</f>
        <v/>
      </c>
      <c r="F36" s="6" t="n"/>
    </row>
    <row r="37">
      <c r="A37" s="3" t="inlineStr">
        <is>
          <t>2.7k</t>
        </is>
      </c>
      <c r="B37" s="3" t="n">
        <v>12</v>
      </c>
      <c r="C37" s="3" t="inlineStr">
        <is>
          <t>resistencia</t>
        </is>
      </c>
      <c r="D37" s="4" t="n"/>
      <c r="E37" s="5">
        <f>IF(D37="","",B37*D37)</f>
        <v/>
      </c>
      <c r="F37" s="6" t="n"/>
    </row>
    <row r="38">
      <c r="A38" s="3" t="inlineStr">
        <is>
          <t>240k</t>
        </is>
      </c>
      <c r="B38" s="3" t="n">
        <v>5</v>
      </c>
      <c r="C38" s="3" t="inlineStr">
        <is>
          <t>resistencia</t>
        </is>
      </c>
      <c r="D38" s="4" t="n"/>
      <c r="E38" s="5">
        <f>IF(D38="","",B38*D38)</f>
        <v/>
      </c>
      <c r="F38" s="6" t="n"/>
    </row>
    <row r="39">
      <c r="A39" s="3" t="inlineStr">
        <is>
          <t>390k</t>
        </is>
      </c>
      <c r="B39" s="3" t="n">
        <v>2</v>
      </c>
      <c r="C39" s="3" t="inlineStr">
        <is>
          <t>resistencia</t>
        </is>
      </c>
      <c r="D39" s="4" t="n"/>
      <c r="E39" s="5">
        <f>IF(D39="","",B39*D39)</f>
        <v/>
      </c>
      <c r="F39" s="6" t="n"/>
    </row>
    <row r="40">
      <c r="A40" s="3" t="inlineStr">
        <is>
          <t>4.7k</t>
        </is>
      </c>
      <c r="B40" s="3" t="n">
        <v>5</v>
      </c>
      <c r="C40" s="3" t="inlineStr">
        <is>
          <t>resistencia</t>
        </is>
      </c>
      <c r="D40" s="4" t="n"/>
      <c r="E40" s="5">
        <f>IF(D40="","",B40*D40)</f>
        <v/>
      </c>
      <c r="F40" s="6" t="n"/>
    </row>
    <row r="41">
      <c r="A41" s="3" t="inlineStr">
        <is>
          <t>56k</t>
        </is>
      </c>
      <c r="B41" s="3" t="n">
        <v>15</v>
      </c>
      <c r="C41" s="3" t="inlineStr">
        <is>
          <t>resistencia</t>
        </is>
      </c>
      <c r="D41" s="4" t="n"/>
      <c r="E41" s="5">
        <f>IF(D41="","",B41*D41)</f>
        <v/>
      </c>
      <c r="F41" s="6" t="n"/>
    </row>
    <row r="42">
      <c r="A42" s="3" t="inlineStr">
        <is>
          <t>620k</t>
        </is>
      </c>
      <c r="B42" s="3" t="n">
        <v>5</v>
      </c>
      <c r="C42" s="3" t="inlineStr">
        <is>
          <t>resistencia</t>
        </is>
      </c>
      <c r="D42" s="4" t="n"/>
      <c r="E42" s="5">
        <f>IF(D42="","",B42*D42)</f>
        <v/>
      </c>
      <c r="F42" s="6" t="n"/>
    </row>
    <row r="43">
      <c r="A43" s="3" t="inlineStr">
        <is>
          <t>91k</t>
        </is>
      </c>
      <c r="B43" s="3" t="n">
        <v>10</v>
      </c>
      <c r="C43" s="3" t="inlineStr">
        <is>
          <t>resistencia</t>
        </is>
      </c>
      <c r="D43" s="4" t="n"/>
      <c r="E43" s="5">
        <f>IF(D43="","",B43*D43)</f>
        <v/>
      </c>
      <c r="F43" s="6" t="n"/>
    </row>
    <row r="44">
      <c r="D44" s="7" t="inlineStr">
        <is>
          <t>TOTAL</t>
        </is>
      </c>
      <c r="E44" s="8">
        <f>SUM(E4:E43)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2026-10-02T21:07:28+00:00Z</dcterms:created>
  <dcterms:modified xmlns:dcterms="http://purl.org/dc/terms/" xmlns:xsi="http://www.w3.org/2001/XMLSchema-instance" xsi:type="dcterms:W3CDTF">2026-10-02T21:07:28+00:00Z</dcterms:modified>
</cp:coreProperties>
</file>