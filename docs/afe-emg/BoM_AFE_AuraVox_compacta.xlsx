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compac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<sst xmlns="http://schemas.openxmlformats.org/spreadsheetml/2006/main" count="216" uniqueCount="120">
  <si>
    <t xml:space="preserve">BoM compacta AFE sEMG AuraVox (3 canales, incluye repuesto). Detalle por modulo en BoM_AFE_AuraVox.xlsx</t>
  </si>
  <si>
    <t xml:space="preserve">Carritos del 4-oct-2026 cargados. Precios con IVA, sin despacho. En rojo: falta en los carritos.</t>
  </si>
  <si>
    <t xml:space="preserve">Valor / parte</t>
  </si>
  <si>
    <t xml:space="preserve">Cantidad</t>
  </si>
  <si>
    <t xml:space="preserve">Componente</t>
  </si>
  <si>
    <t xml:space="preserve">Tienda</t>
  </si>
  <si>
    <t xml:space="preserve">En carrito</t>
  </si>
  <si>
    <t xml:space="preserve">Precio unit. (CLP)</t>
  </si>
  <si>
    <t xml:space="preserve">Subtotal (CLP)</t>
  </si>
  <si>
    <t xml:space="preserve">Estado</t>
  </si>
  <si>
    <t xml:space="preserve">S08D8</t>
  </si>
  <si>
    <t xml:space="preserve">Adaptador SOIC-8 a DIP-8 (S08D8, Global; trae PCB y 2 headers de 4)</t>
  </si>
  <si>
    <t xml:space="preserve">Global Electronica</t>
  </si>
  <si>
    <t xml:space="preserve">Comprado</t>
  </si>
  <si>
    <t xml:space="preserve">Alcohol isopropilico / gel</t>
  </si>
  <si>
    <t xml:space="preserve">Pendiente</t>
  </si>
  <si>
    <t xml:space="preserve">jumper Dupont M-M</t>
  </si>
  <si>
    <t xml:space="preserve">Bus de 8 cables Dupont macho (separado de una tira de 40)</t>
  </si>
  <si>
    <t xml:space="preserve">jumper Dupont M-H</t>
  </si>
  <si>
    <t xml:space="preserve">Cable 5 V y GND desde el DK</t>
  </si>
  <si>
    <t xml:space="preserve">Cable a Arduino A1..A3 del STM32N6570-DK</t>
  </si>
  <si>
    <t xml:space="preserve">broche 4 mm a pin</t>
  </si>
  <si>
    <t xml:space="preserve">Cable de electrodo con broche (snap) 4 mm, idealmente apantallado</t>
  </si>
  <si>
    <t xml:space="preserve">24 AWG rigido</t>
  </si>
  <si>
    <t xml:space="preserve">Cable para puentes</t>
  </si>
  <si>
    <t xml:space="preserve">Cables Dupont para el microfono</t>
  </si>
  <si>
    <t xml:space="preserve">hembra 2x8 2.54 THT</t>
  </si>
  <si>
    <t xml:space="preserve">Conector de la placa para los 7 electrodos</t>
  </si>
  <si>
    <t xml:space="preserve">Skintact FS-RG1/10 32x41</t>
  </si>
  <si>
    <t xml:space="preserve">Electrodo Ag/AgCl con broche 4 mm</t>
  </si>
  <si>
    <t xml:space="preserve">INA333 modulo MCU-333</t>
  </si>
  <si>
    <t xml:space="preserve">INA333 (modulo MCU-333)</t>
  </si>
  <si>
    <t xml:space="preserve">MechatronicStore</t>
  </si>
  <si>
    <t xml:space="preserve">INMP441</t>
  </si>
  <si>
    <t xml:space="preserve">Modulo microfono digital INMP441 (I2S)</t>
  </si>
  <si>
    <t xml:space="preserve">TS922AIYDT</t>
  </si>
  <si>
    <t xml:space="preserve">Op-amp doble TS922AIYDT (Global 001-TS922)</t>
  </si>
  <si>
    <t xml:space="preserve">10 x 15 cm</t>
  </si>
  <si>
    <t xml:space="preserve">Perfboard</t>
  </si>
  <si>
    <t xml:space="preserve">ya lo tengo</t>
  </si>
  <si>
    <t xml:space="preserve">Ya lo tengo</t>
  </si>
  <si>
    <t xml:space="preserve">TLV75733PDBVR</t>
  </si>
  <si>
    <t xml:space="preserve">Regulador LDO 3.3 V TLV75733PDBVR (Global 014-75733)</t>
  </si>
  <si>
    <t xml:space="preserve">hembra 1x40</t>
  </si>
  <si>
    <t xml:space="preserve">Tira de header hembra 1x40 2.54 THT</t>
  </si>
  <si>
    <t xml:space="preserve">macho 1x40</t>
  </si>
  <si>
    <t xml:space="preserve">Tira de header macho 1x40 2.54 THT</t>
  </si>
  <si>
    <t xml:space="preserve">100p</t>
  </si>
  <si>
    <t xml:space="preserve">cond. ceramico C0G</t>
  </si>
  <si>
    <t xml:space="preserve">1n</t>
  </si>
  <si>
    <t xml:space="preserve">47p</t>
  </si>
  <si>
    <t xml:space="preserve">100n</t>
  </si>
  <si>
    <t xml:space="preserve">cond. ceramico/electrolitico</t>
  </si>
  <si>
    <t xml:space="preserve">10u</t>
  </si>
  <si>
    <t xml:space="preserve">1u</t>
  </si>
  <si>
    <t xml:space="preserve">1u X7R</t>
  </si>
  <si>
    <t xml:space="preserve">cond. poliester (film)</t>
  </si>
  <si>
    <t xml:space="preserve">100n + 47n en paralelo</t>
  </si>
  <si>
    <t xml:space="preserve">cond. poliester o C0G</t>
  </si>
  <si>
    <t xml:space="preserve">10n + 4.7n en paralelo</t>
  </si>
  <si>
    <t xml:space="preserve">2.2n</t>
  </si>
  <si>
    <t xml:space="preserve">1N4148</t>
  </si>
  <si>
    <t xml:space="preserve">diodo</t>
  </si>
  <si>
    <t xml:space="preserve">100</t>
  </si>
  <si>
    <t xml:space="preserve">resistencia</t>
  </si>
  <si>
    <t xml:space="preserve">100k</t>
  </si>
  <si>
    <t xml:space="preserve">10M</t>
  </si>
  <si>
    <t xml:space="preserve">110k</t>
  </si>
  <si>
    <t xml:space="preserve">1k</t>
  </si>
  <si>
    <t xml:space="preserve">2.2k</t>
  </si>
  <si>
    <t xml:space="preserve">2.4k</t>
  </si>
  <si>
    <t xml:space="preserve">2.7k</t>
  </si>
  <si>
    <t xml:space="preserve">300k</t>
  </si>
  <si>
    <t xml:space="preserve">390k</t>
  </si>
  <si>
    <t xml:space="preserve">56k</t>
  </si>
  <si>
    <t xml:space="preserve">620k</t>
  </si>
  <si>
    <t xml:space="preserve">TOTAL</t>
  </si>
  <si>
    <t xml:space="preserve">FALTA COMPRAR (no esta en los carritos del 4-oct-2026)</t>
  </si>
  <si>
    <t xml:space="preserve">Cant.</t>
  </si>
  <si>
    <t xml:space="preserve">Que</t>
  </si>
  <si>
    <t xml:space="preserve">Buscar como</t>
  </si>
  <si>
    <t xml:space="preserve">Donde</t>
  </si>
  <si>
    <t xml:space="preserve">Notas</t>
  </si>
  <si>
    <t xml:space="preserve">jumper Dupont M-H Cable a Arduino A1..A3 del STM32N6570-DK</t>
  </si>
  <si>
    <t xml:space="preserve">cable dupont macho-hembra (tira de 40)</t>
  </si>
  <si>
    <t xml:space="preserve">MechatronicStore / Global. 1 tira de 40 M-H cubre las 3 filas M-H (14 cables)</t>
  </si>
  <si>
    <t xml:space="preserve">Compraste 2 de 5</t>
  </si>
  <si>
    <t xml:space="preserve">jumper Dupont M-H Cable 5 V y GND desde el DK</t>
  </si>
  <si>
    <t xml:space="preserve">cable dupont macho-hembra</t>
  </si>
  <si>
    <t xml:space="preserve">MechatronicStore / Global (misma tira M-H)</t>
  </si>
  <si>
    <t xml:space="preserve">Usar powerbank o PC a bateria mientras haya electrodos puestos (ver Notas de seguridad)</t>
  </si>
  <si>
    <t xml:space="preserve">Skintact FS-RG1/10 32x41 Electrodo Ag/AgCl con broche 4 mm</t>
  </si>
  <si>
    <t xml:space="preserve">Skintact FS-RG1/10 / Kendall Arbo H124SG 24 mm</t>
  </si>
  <si>
    <t xml:space="preserve">Tiendas de insumos medicos / Mercado Libre</t>
  </si>
  <si>
    <t xml:space="preserve">7 por sesion (6 de senal + 1 RLD); caja de 50. Skintact para CH1, CH3 y RLD. CH2: Arbo H124SG (24 mm) o par sobre el menton. ISIMED 55x55 solo como RLD</t>
  </si>
  <si>
    <t xml:space="preserve">broche 4 mm a pin Cable de electrodo con broche (snap) 4 mm, idealmente apantallado</t>
  </si>
  <si>
    <t xml:space="preserve">cable electrodo snap 4 mm / cable ECG broche</t>
  </si>
  <si>
    <t xml:space="preserve">MechatronicStore ("cable de electrodos AD8232") / tiendas medicas</t>
  </si>
  <si>
    <t xml:space="preserve">Uno por electrodo; trenzar los dos de cada par. REVISAR EL TERMINAL antes de comprar: debe calzar en header hembra 2.54 mm. Si termina en DIN 1.5 mm touchproof (DIN 42802), cortar y crimpar terminal Dupont hembra o comprar bases touchproof. Alternativa: cable de 3 electrodos con jack 3.5 mm (el de los kits AD8232) + jack hembra 3.5 mm TRS en la placa</t>
  </si>
  <si>
    <t xml:space="preserve">jumper Dupont M-M Bus de 8 cables Dupont macho (separado de una tira de 40)</t>
  </si>
  <si>
    <t xml:space="preserve">cable dupont macho-macho 20 cm tira 40</t>
  </si>
  <si>
    <t xml:space="preserve">MechatronicStore / Global. 1 tira de 40 M-M</t>
  </si>
  <si>
    <t xml:space="preserve">Compraste 2 de 8</t>
  </si>
  <si>
    <t xml:space="preserve">alcohol isopropilico</t>
  </si>
  <si>
    <t xml:space="preserve">Farmacia / ferreteria</t>
  </si>
  <si>
    <t xml:space="preserve">Preparar la piel</t>
  </si>
  <si>
    <t xml:space="preserve">jumper Dupont M-H Cables Dupont para el microfono</t>
  </si>
  <si>
    <t xml:space="preserve">VDD 3.3V, GND, SCK, WS, SD, L/R (L/R a GND)</t>
  </si>
  <si>
    <t xml:space="preserve">ARMADO: condensadores en paralelo y polaridades</t>
  </si>
  <si>
    <t xml:space="preserve">Cm1 (MFB, x3 canales) = 100 nF (2A104K) EN PARALELO con 47 nF (2A473J): los dos entre el nodo MA (union Rm1-Rm2-Rm3) y GND.</t>
  </si>
  <si>
    <t xml:space="preserve">C21 (Sallen-Key, x3 canales) = 10 nF (2A103J) EN PARALELO con 4.7 nF (2A472K): los dos entre la union Rlb1-Rlb2 y la salida del op-amp del SK.</t>
  </si>
  <si>
    <t xml:space="preserve">Cm0 (10 uF electrolitico): entre sus patas hay ~0 V DC; cualquier orientacion sirve. Por convencion: + hacia la salida del HPF.</t>
  </si>
  <si>
    <t xml:space="preserve">LDO: CM105 (1 uF ceramico) en paralelo con el CE50102 (1 uF electrolitico) a la salida, pegados a los pines OUT y GND.</t>
  </si>
  <si>
    <t xml:space="preserve">La simulacion ya usa los valores armados: CM1 = 147n y C21 = 14.7n.</t>
  </si>
  <si>
    <t xml:space="preserve">Avisos de la compra</t>
  </si>
  <si>
    <t xml:space="preserve">Pedidos hechos el 4-oct-2026: Global $39.433 (retiro en tienda) + MechatronicStore $28.450 (Bluexpress) = $67.883.</t>
  </si>
  <si>
    <t xml:space="preserve">Dupont: JPMH20/JPMM20 son cables SUELTOS. Tienes 2 M-H y 2 M-M; el diseno usa 14 M-H y 8 M-M (faltan 12 M-H y 6 M-M; Global tiene stock, $50 c/u).</t>
  </si>
  <si>
    <t xml:space="preserve">Falta: electrodos, cables de electrodo y alcohol (ver FALTA COMPRAR).</t>
  </si>
  <si>
    <t xml:space="preserve">Resistencias de carbon 5 % en vez de pelicula metalica 1 %: aceptado para la demo (ganancia por canal +-7 %, se normaliza en firmware). Para produccion: 1 %.</t>
  </si>
  <si>
    <t xml:space="preserve">Precios con IVA.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</si>
</sst>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45" activeCellId="0" sqref="G4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7" min="6" style="1" width="16"/>
    <col collapsed="false" customWidth="true" hidden="false" outlineLevel="0" max="8" min="8" style="1" width="1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5" hidden="false" customHeight="false" outlineLevel="0" collapsed="false">
      <c r="A4" s="5" t="s">
        <v>10</v>
      </c>
      <c r="B4" s="5" t="n">
        <v>7</v>
      </c>
      <c r="C4" s="5" t="s">
        <v>11</v>
      </c>
      <c r="D4" s="6" t="s">
        <v>12</v>
      </c>
      <c r="E4" s="6" t="n">
        <v>12</v>
      </c>
      <c r="F4" s="7" t="n">
        <v>250</v>
      </c>
      <c r="G4" s="8" t="n">
        <f aca="false">IF(OR(E4="",F4=""),"",E4*F4)</f>
        <v>3000</v>
      </c>
      <c r="H4" s="9" t="s">
        <v>13</v>
      </c>
    </row>
    <row r="5" customFormat="false" ht="15" hidden="false" customHeight="false" outlineLevel="0" collapsed="false">
      <c r="A5" s="5" t="s">
        <v>14</v>
      </c>
      <c r="B5" s="5" t="n">
        <v>1</v>
      </c>
      <c r="C5" s="5" t="s">
        <v>14</v>
      </c>
      <c r="D5" s="6"/>
      <c r="E5" s="6"/>
      <c r="F5" s="7"/>
      <c r="G5" s="8" t="str">
        <f aca="false">IF(OR(E5="",F5=""),"",E5*F5)</f>
        <v/>
      </c>
      <c r="H5" s="10" t="s">
        <v>15</v>
      </c>
    </row>
    <row r="6" customFormat="false" ht="15" hidden="false" customHeight="false" outlineLevel="0" collapsed="false">
      <c r="A6" s="5" t="s">
        <v>16</v>
      </c>
      <c r="B6" s="5" t="n">
        <v>8</v>
      </c>
      <c r="C6" s="5" t="s">
        <v>17</v>
      </c>
      <c r="D6" s="6" t="s">
        <v>12</v>
      </c>
      <c r="E6" s="6" t="n">
        <v>42</v>
      </c>
      <c r="F6" s="7" t="n">
        <v>50</v>
      </c>
      <c r="G6" s="8" t="n">
        <f aca="false">IF(OR(E6="",F6=""),"",E6*F6)</f>
        <v>2100</v>
      </c>
      <c r="H6" s="9" t="s">
        <v>13</v>
      </c>
    </row>
    <row r="7" customFormat="false" ht="15" hidden="false" customHeight="false" outlineLevel="0" collapsed="false">
      <c r="A7" s="5" t="s">
        <v>18</v>
      </c>
      <c r="B7" s="5" t="n">
        <v>3</v>
      </c>
      <c r="C7" s="5" t="s">
        <v>19</v>
      </c>
      <c r="D7" s="6"/>
      <c r="E7" s="6"/>
      <c r="F7" s="7"/>
      <c r="G7" s="8" t="str">
        <f aca="false">IF(OR(E7="",F7=""),"",E7*F7)</f>
        <v/>
      </c>
      <c r="H7" s="10" t="s">
        <v>15</v>
      </c>
    </row>
    <row r="8" customFormat="false" ht="15" hidden="false" customHeight="false" outlineLevel="0" collapsed="false">
      <c r="A8" s="5" t="s">
        <v>18</v>
      </c>
      <c r="B8" s="5" t="n">
        <v>5</v>
      </c>
      <c r="C8" s="5" t="s">
        <v>20</v>
      </c>
      <c r="D8" s="6" t="s">
        <v>12</v>
      </c>
      <c r="E8" s="6" t="n">
        <v>42</v>
      </c>
      <c r="F8" s="7" t="n">
        <v>50</v>
      </c>
      <c r="G8" s="8" t="n">
        <f aca="false">IF(OR(E8="",F8=""),"",E8*F8)</f>
        <v>2100</v>
      </c>
      <c r="H8" s="9" t="s">
        <v>13</v>
      </c>
    </row>
    <row r="9" customFormat="false" ht="15" hidden="false" customHeight="false" outlineLevel="0" collapsed="false">
      <c r="A9" s="5" t="s">
        <v>21</v>
      </c>
      <c r="B9" s="5" t="n">
        <v>8</v>
      </c>
      <c r="C9" s="5" t="s">
        <v>22</v>
      </c>
      <c r="D9" s="6"/>
      <c r="E9" s="6"/>
      <c r="F9" s="7"/>
      <c r="G9" s="8" t="str">
        <f aca="false">IF(OR(E9="",F9=""),"",E9*F9)</f>
        <v/>
      </c>
      <c r="H9" s="10" t="s">
        <v>15</v>
      </c>
    </row>
    <row r="10" customFormat="false" ht="15" hidden="false" customHeight="false" outlineLevel="0" collapsed="false">
      <c r="A10" s="5" t="s">
        <v>23</v>
      </c>
      <c r="B10" s="5" t="n">
        <v>1</v>
      </c>
      <c r="C10" s="5" t="s">
        <v>24</v>
      </c>
      <c r="D10" s="6" t="s">
        <v>12</v>
      </c>
      <c r="E10" s="6" t="n">
        <v>3</v>
      </c>
      <c r="F10" s="7" t="n">
        <v>300</v>
      </c>
      <c r="G10" s="8" t="n">
        <f aca="false">IF(OR(E10="",F10=""),"",E10*F10)</f>
        <v>900</v>
      </c>
      <c r="H10" s="9" t="s">
        <v>13</v>
      </c>
    </row>
    <row r="11" customFormat="false" ht="15" hidden="false" customHeight="false" outlineLevel="0" collapsed="false">
      <c r="A11" s="5" t="s">
        <v>18</v>
      </c>
      <c r="B11" s="5" t="n">
        <v>6</v>
      </c>
      <c r="C11" s="5" t="s">
        <v>25</v>
      </c>
      <c r="D11" s="6"/>
      <c r="E11" s="6"/>
      <c r="F11" s="7"/>
      <c r="G11" s="8" t="str">
        <f aca="false">IF(OR(E11="",F11=""),"",E11*F11)</f>
        <v/>
      </c>
      <c r="H11" s="10" t="s">
        <v>15</v>
      </c>
    </row>
    <row r="12" customFormat="false" ht="15" hidden="false" customHeight="false" outlineLevel="0" collapsed="false">
      <c r="A12" s="5" t="s">
        <v>26</v>
      </c>
      <c r="B12" s="5" t="n">
        <v>2</v>
      </c>
      <c r="C12" s="5" t="s">
        <v>27</v>
      </c>
      <c r="D12" s="6" t="s">
        <v>12</v>
      </c>
      <c r="E12" s="6" t="n">
        <v>2</v>
      </c>
      <c r="F12" s="7" t="n">
        <v>150</v>
      </c>
      <c r="G12" s="8" t="n">
        <f aca="false">IF(OR(E12="",F12=""),"",E12*F12)</f>
        <v>300</v>
      </c>
      <c r="H12" s="9" t="s">
        <v>13</v>
      </c>
    </row>
    <row r="13" customFormat="false" ht="15" hidden="false" customHeight="false" outlineLevel="0" collapsed="false">
      <c r="A13" s="5" t="s">
        <v>28</v>
      </c>
      <c r="B13" s="5" t="n">
        <v>50</v>
      </c>
      <c r="C13" s="5" t="s">
        <v>29</v>
      </c>
      <c r="D13" s="6"/>
      <c r="E13" s="6"/>
      <c r="F13" s="7"/>
      <c r="G13" s="8" t="str">
        <f aca="false">IF(OR(E13="",F13=""),"",E13*F13)</f>
        <v/>
      </c>
      <c r="H13" s="10" t="s">
        <v>15</v>
      </c>
    </row>
    <row r="14" customFormat="false" ht="15" hidden="false" customHeight="false" outlineLevel="0" collapsed="false">
      <c r="A14" s="5" t="s">
        <v>30</v>
      </c>
      <c r="B14" s="5" t="n">
        <v>4</v>
      </c>
      <c r="C14" s="5" t="s">
        <v>31</v>
      </c>
      <c r="D14" s="6" t="s">
        <v>32</v>
      </c>
      <c r="E14" s="6" t="n">
        <v>4</v>
      </c>
      <c r="F14" s="7" t="n">
        <v>6790</v>
      </c>
      <c r="G14" s="8" t="n">
        <f aca="false">IF(OR(E14="",F14=""),"",E14*F14)</f>
        <v>27160</v>
      </c>
      <c r="H14" s="9" t="s">
        <v>13</v>
      </c>
    </row>
    <row r="15" customFormat="false" ht="15" hidden="false" customHeight="false" outlineLevel="0" collapsed="false">
      <c r="A15" s="5" t="s">
        <v>33</v>
      </c>
      <c r="B15" s="5" t="n">
        <v>1</v>
      </c>
      <c r="C15" s="5" t="s">
        <v>34</v>
      </c>
      <c r="D15" s="6" t="s">
        <v>12</v>
      </c>
      <c r="E15" s="6" t="n">
        <v>1</v>
      </c>
      <c r="F15" s="7" t="n">
        <v>7790</v>
      </c>
      <c r="G15" s="8" t="n">
        <f aca="false">IF(OR(E15="",F15=""),"",E15*F15)</f>
        <v>7790</v>
      </c>
      <c r="H15" s="9" t="s">
        <v>13</v>
      </c>
    </row>
    <row r="16" customFormat="false" ht="15" hidden="false" customHeight="false" outlineLevel="0" collapsed="false">
      <c r="A16" s="5" t="s">
        <v>35</v>
      </c>
      <c r="B16" s="5" t="n">
        <v>6</v>
      </c>
      <c r="C16" s="5" t="s">
        <v>36</v>
      </c>
      <c r="D16" s="6" t="s">
        <v>12</v>
      </c>
      <c r="E16" s="6" t="n">
        <v>6</v>
      </c>
      <c r="F16" s="7" t="n">
        <v>2890</v>
      </c>
      <c r="G16" s="8" t="n">
        <f aca="false">IF(OR(E16="",F16=""),"",E16*F16)</f>
        <v>17340</v>
      </c>
      <c r="H16" s="9" t="s">
        <v>13</v>
      </c>
    </row>
    <row r="17" customFormat="false" ht="15" hidden="false" customHeight="false" outlineLevel="0" collapsed="false">
      <c r="A17" s="5" t="s">
        <v>37</v>
      </c>
      <c r="B17" s="5" t="n">
        <v>2</v>
      </c>
      <c r="C17" s="5" t="s">
        <v>38</v>
      </c>
      <c r="D17" s="6" t="s">
        <v>39</v>
      </c>
      <c r="E17" s="6"/>
      <c r="F17" s="7"/>
      <c r="G17" s="8" t="str">
        <f aca="false">IF(OR(E17="",F17=""),"",E17*F17)</f>
        <v/>
      </c>
      <c r="H17" s="9" t="s">
        <v>40</v>
      </c>
    </row>
    <row r="18" customFormat="false" ht="15" hidden="false" customHeight="false" outlineLevel="0" collapsed="false">
      <c r="A18" s="5" t="s">
        <v>41</v>
      </c>
      <c r="B18" s="5" t="n">
        <v>2</v>
      </c>
      <c r="C18" s="5" t="s">
        <v>42</v>
      </c>
      <c r="D18" s="6" t="s">
        <v>12</v>
      </c>
      <c r="E18" s="6" t="n">
        <v>2</v>
      </c>
      <c r="F18" s="7" t="n">
        <v>950</v>
      </c>
      <c r="G18" s="8" t="n">
        <f aca="false">IF(OR(E18="",F18=""),"",E18*F18)</f>
        <v>1900</v>
      </c>
      <c r="H18" s="9" t="s">
        <v>13</v>
      </c>
    </row>
    <row r="19" customFormat="false" ht="15" hidden="false" customHeight="false" outlineLevel="0" collapsed="false">
      <c r="A19" s="5" t="s">
        <v>43</v>
      </c>
      <c r="B19" s="5" t="n">
        <v>1</v>
      </c>
      <c r="C19" s="5" t="s">
        <v>44</v>
      </c>
      <c r="D19" s="6" t="s">
        <v>32</v>
      </c>
      <c r="E19" s="6" t="n">
        <v>1</v>
      </c>
      <c r="F19" s="7" t="n">
        <v>490</v>
      </c>
      <c r="G19" s="8" t="n">
        <f aca="false">IF(OR(E19="",F19=""),"",E19*F19)</f>
        <v>490</v>
      </c>
      <c r="H19" s="9" t="s">
        <v>13</v>
      </c>
    </row>
    <row r="20" customFormat="false" ht="15" hidden="false" customHeight="false" outlineLevel="0" collapsed="false">
      <c r="A20" s="5" t="s">
        <v>45</v>
      </c>
      <c r="B20" s="5" t="n">
        <v>1</v>
      </c>
      <c r="C20" s="5" t="s">
        <v>46</v>
      </c>
      <c r="D20" s="6" t="s">
        <v>12</v>
      </c>
      <c r="E20" s="6" t="n">
        <v>1</v>
      </c>
      <c r="F20" s="7" t="n">
        <v>490</v>
      </c>
      <c r="G20" s="8" t="n">
        <f aca="false">IF(OR(E20="",F20=""),"",E20*F20)</f>
        <v>490</v>
      </c>
      <c r="H20" s="9" t="s">
        <v>13</v>
      </c>
    </row>
    <row r="21" customFormat="false" ht="15" hidden="false" customHeight="false" outlineLevel="0" collapsed="false">
      <c r="A21" s="5" t="s">
        <v>47</v>
      </c>
      <c r="B21" s="5" t="n">
        <v>4</v>
      </c>
      <c r="C21" s="5" t="s">
        <v>48</v>
      </c>
      <c r="D21" s="6" t="s">
        <v>12</v>
      </c>
      <c r="E21" s="6" t="n">
        <v>4</v>
      </c>
      <c r="F21" s="7" t="n">
        <v>40</v>
      </c>
      <c r="G21" s="8" t="n">
        <f aca="false">IF(OR(E21="",F21=""),"",E21*F21)</f>
        <v>160</v>
      </c>
      <c r="H21" s="9" t="s">
        <v>13</v>
      </c>
    </row>
    <row r="22" customFormat="false" ht="15" hidden="false" customHeight="false" outlineLevel="0" collapsed="false">
      <c r="A22" s="5" t="s">
        <v>49</v>
      </c>
      <c r="B22" s="5" t="n">
        <v>10</v>
      </c>
      <c r="C22" s="5" t="s">
        <v>48</v>
      </c>
      <c r="D22" s="6" t="s">
        <v>12</v>
      </c>
      <c r="E22" s="6" t="n">
        <v>10</v>
      </c>
      <c r="F22" s="7" t="n">
        <v>60</v>
      </c>
      <c r="G22" s="8" t="n">
        <f aca="false">IF(OR(E22="",F22=""),"",E22*F22)</f>
        <v>600</v>
      </c>
      <c r="H22" s="9" t="s">
        <v>13</v>
      </c>
    </row>
    <row r="23" customFormat="false" ht="15" hidden="false" customHeight="false" outlineLevel="0" collapsed="false">
      <c r="A23" s="5" t="s">
        <v>50</v>
      </c>
      <c r="B23" s="5" t="n">
        <v>8</v>
      </c>
      <c r="C23" s="5" t="s">
        <v>48</v>
      </c>
      <c r="D23" s="6" t="s">
        <v>12</v>
      </c>
      <c r="E23" s="6" t="n">
        <v>8</v>
      </c>
      <c r="F23" s="7" t="n">
        <v>30</v>
      </c>
      <c r="G23" s="8" t="n">
        <f aca="false">IF(OR(E23="",F23=""),"",E23*F23)</f>
        <v>240</v>
      </c>
      <c r="H23" s="9" t="s">
        <v>13</v>
      </c>
    </row>
    <row r="24" customFormat="false" ht="15" hidden="false" customHeight="false" outlineLevel="0" collapsed="false">
      <c r="A24" s="5" t="s">
        <v>51</v>
      </c>
      <c r="B24" s="5" t="n">
        <v>12</v>
      </c>
      <c r="C24" s="5" t="s">
        <v>52</v>
      </c>
      <c r="D24" s="6" t="s">
        <v>12</v>
      </c>
      <c r="E24" s="6" t="n">
        <v>12</v>
      </c>
      <c r="F24" s="7" t="n">
        <v>40</v>
      </c>
      <c r="G24" s="8" t="n">
        <f aca="false">IF(OR(E24="",F24=""),"",E24*F24)</f>
        <v>480</v>
      </c>
      <c r="H24" s="9" t="s">
        <v>13</v>
      </c>
    </row>
    <row r="25" customFormat="false" ht="15" hidden="false" customHeight="false" outlineLevel="0" collapsed="false">
      <c r="A25" s="5" t="s">
        <v>53</v>
      </c>
      <c r="B25" s="5" t="n">
        <v>7</v>
      </c>
      <c r="C25" s="5" t="s">
        <v>52</v>
      </c>
      <c r="D25" s="6" t="s">
        <v>12</v>
      </c>
      <c r="E25" s="6" t="n">
        <v>7</v>
      </c>
      <c r="F25" s="7" t="n">
        <v>50</v>
      </c>
      <c r="G25" s="8" t="n">
        <f aca="false">IF(OR(E25="",F25=""),"",E25*F25)</f>
        <v>350</v>
      </c>
      <c r="H25" s="9" t="s">
        <v>13</v>
      </c>
    </row>
    <row r="26" customFormat="false" ht="15" hidden="false" customHeight="false" outlineLevel="0" collapsed="false">
      <c r="A26" s="5" t="s">
        <v>54</v>
      </c>
      <c r="B26" s="5" t="n">
        <v>3</v>
      </c>
      <c r="C26" s="5" t="s">
        <v>52</v>
      </c>
      <c r="D26" s="6" t="s">
        <v>12</v>
      </c>
      <c r="E26" s="6" t="n">
        <v>3</v>
      </c>
      <c r="F26" s="7" t="n">
        <v>90</v>
      </c>
      <c r="G26" s="8" t="n">
        <f aca="false">IF(OR(E26="",F26=""),"",E26*F26)</f>
        <v>270</v>
      </c>
      <c r="H26" s="9" t="s">
        <v>13</v>
      </c>
    </row>
    <row r="27" customFormat="false" ht="15" hidden="false" customHeight="false" outlineLevel="0" collapsed="false">
      <c r="A27" s="5" t="s">
        <v>55</v>
      </c>
      <c r="B27" s="5" t="n">
        <v>2</v>
      </c>
      <c r="C27" s="5" t="s">
        <v>52</v>
      </c>
      <c r="D27" s="6" t="s">
        <v>12</v>
      </c>
      <c r="E27" s="6" t="n">
        <v>2</v>
      </c>
      <c r="F27" s="7" t="n">
        <v>50</v>
      </c>
      <c r="G27" s="8" t="n">
        <f aca="false">IF(OR(E27="",F27=""),"",E27*F27)</f>
        <v>100</v>
      </c>
      <c r="H27" s="9" t="s">
        <v>13</v>
      </c>
    </row>
    <row r="28" customFormat="false" ht="15" hidden="false" customHeight="false" outlineLevel="0" collapsed="false">
      <c r="A28" s="5" t="s">
        <v>51</v>
      </c>
      <c r="B28" s="5" t="n">
        <v>8</v>
      </c>
      <c r="C28" s="5" t="s">
        <v>56</v>
      </c>
      <c r="D28" s="6" t="s">
        <v>12</v>
      </c>
      <c r="E28" s="6" t="n">
        <v>8</v>
      </c>
      <c r="F28" s="7" t="n">
        <v>40</v>
      </c>
      <c r="G28" s="8" t="n">
        <f aca="false">IF(OR(E28="",F28=""),"",E28*F28)</f>
        <v>320</v>
      </c>
      <c r="H28" s="9" t="s">
        <v>13</v>
      </c>
    </row>
    <row r="29" customFormat="false" ht="15" hidden="false" customHeight="false" outlineLevel="0" collapsed="false">
      <c r="A29" s="5" t="s">
        <v>57</v>
      </c>
      <c r="B29" s="5" t="n">
        <v>4</v>
      </c>
      <c r="C29" s="5" t="s">
        <v>58</v>
      </c>
      <c r="D29" s="6" t="s">
        <v>12</v>
      </c>
      <c r="E29" s="6" t="n">
        <v>4</v>
      </c>
      <c r="F29" s="7" t="n">
        <v>130</v>
      </c>
      <c r="G29" s="8" t="n">
        <f aca="false">IF(OR(E29="",F29=""),"",E29*F29)</f>
        <v>520</v>
      </c>
      <c r="H29" s="9" t="s">
        <v>13</v>
      </c>
    </row>
    <row r="30" customFormat="false" ht="15" hidden="false" customHeight="false" outlineLevel="0" collapsed="false">
      <c r="A30" s="5" t="s">
        <v>59</v>
      </c>
      <c r="B30" s="5" t="n">
        <v>4</v>
      </c>
      <c r="C30" s="5" t="s">
        <v>58</v>
      </c>
      <c r="D30" s="6" t="s">
        <v>12</v>
      </c>
      <c r="E30" s="6" t="n">
        <v>4</v>
      </c>
      <c r="F30" s="7" t="n">
        <v>110</v>
      </c>
      <c r="G30" s="8" t="n">
        <f aca="false">IF(OR(E30="",F30=""),"",E30*F30)</f>
        <v>440</v>
      </c>
      <c r="H30" s="9" t="s">
        <v>13</v>
      </c>
    </row>
    <row r="31" customFormat="false" ht="15" hidden="false" customHeight="false" outlineLevel="0" collapsed="false">
      <c r="A31" s="5" t="s">
        <v>60</v>
      </c>
      <c r="B31" s="5" t="n">
        <v>4</v>
      </c>
      <c r="C31" s="5" t="s">
        <v>58</v>
      </c>
      <c r="D31" s="6" t="s">
        <v>12</v>
      </c>
      <c r="E31" s="6" t="n">
        <v>4</v>
      </c>
      <c r="F31" s="7" t="n">
        <v>30</v>
      </c>
      <c r="G31" s="8" t="n">
        <f aca="false">IF(OR(E31="",F31=""),"",E31*F31)</f>
        <v>120</v>
      </c>
      <c r="H31" s="9" t="s">
        <v>13</v>
      </c>
    </row>
    <row r="32" customFormat="false" ht="15" hidden="false" customHeight="false" outlineLevel="0" collapsed="false">
      <c r="A32" s="5" t="s">
        <v>61</v>
      </c>
      <c r="B32" s="5" t="n">
        <v>16</v>
      </c>
      <c r="C32" s="5" t="s">
        <v>62</v>
      </c>
      <c r="D32" s="6" t="s">
        <v>12</v>
      </c>
      <c r="E32" s="6" t="n">
        <v>16</v>
      </c>
      <c r="F32" s="7" t="n">
        <v>20</v>
      </c>
      <c r="G32" s="8" t="n">
        <f aca="false">IF(OR(E32="",F32=""),"",E32*F32)</f>
        <v>320</v>
      </c>
      <c r="H32" s="9" t="s">
        <v>13</v>
      </c>
    </row>
    <row r="33" customFormat="false" ht="15" hidden="false" customHeight="false" outlineLevel="0" collapsed="false">
      <c r="A33" s="5" t="s">
        <v>63</v>
      </c>
      <c r="B33" s="5" t="n">
        <v>4</v>
      </c>
      <c r="C33" s="5" t="s">
        <v>64</v>
      </c>
      <c r="D33" s="6" t="s">
        <v>12</v>
      </c>
      <c r="E33" s="6" t="n">
        <v>6</v>
      </c>
      <c r="F33" s="7" t="n">
        <v>50</v>
      </c>
      <c r="G33" s="8" t="n">
        <f aca="false">IF(OR(E33="",F33=""),"",E33*F33)</f>
        <v>300</v>
      </c>
      <c r="H33" s="9" t="s">
        <v>13</v>
      </c>
    </row>
    <row r="34" customFormat="false" ht="15" hidden="false" customHeight="false" outlineLevel="0" collapsed="false">
      <c r="A34" s="5" t="s">
        <v>65</v>
      </c>
      <c r="B34" s="5" t="n">
        <v>10</v>
      </c>
      <c r="C34" s="5" t="s">
        <v>64</v>
      </c>
      <c r="D34" s="6" t="s">
        <v>12</v>
      </c>
      <c r="E34" s="6" t="n">
        <v>11</v>
      </c>
      <c r="F34" s="7" t="n">
        <v>178</v>
      </c>
      <c r="G34" s="8" t="n">
        <f aca="false">IF(OR(E34="",F34=""),"",E34*F34)</f>
        <v>1958</v>
      </c>
      <c r="H34" s="9" t="s">
        <v>13</v>
      </c>
    </row>
    <row r="35" customFormat="false" ht="15" hidden="false" customHeight="false" outlineLevel="0" collapsed="false">
      <c r="A35" s="5" t="s">
        <v>66</v>
      </c>
      <c r="B35" s="5" t="n">
        <v>2</v>
      </c>
      <c r="C35" s="5" t="s">
        <v>64</v>
      </c>
      <c r="D35" s="6" t="s">
        <v>12</v>
      </c>
      <c r="E35" s="6" t="n">
        <v>4</v>
      </c>
      <c r="F35" s="7" t="n">
        <v>20</v>
      </c>
      <c r="G35" s="8" t="n">
        <f aca="false">IF(OR(E35="",F35=""),"",E35*F35)</f>
        <v>80</v>
      </c>
      <c r="H35" s="9" t="s">
        <v>13</v>
      </c>
    </row>
    <row r="36" customFormat="false" ht="15" hidden="false" customHeight="false" outlineLevel="0" collapsed="false">
      <c r="A36" s="5" t="s">
        <v>67</v>
      </c>
      <c r="B36" s="5" t="n">
        <v>4</v>
      </c>
      <c r="C36" s="5" t="s">
        <v>64</v>
      </c>
      <c r="D36" s="6" t="s">
        <v>12</v>
      </c>
      <c r="E36" s="6" t="n">
        <v>6</v>
      </c>
      <c r="F36" s="7" t="n">
        <v>20</v>
      </c>
      <c r="G36" s="8" t="n">
        <f aca="false">IF(OR(E36="",F36=""),"",E36*F36)</f>
        <v>120</v>
      </c>
      <c r="H36" s="9" t="s">
        <v>13</v>
      </c>
    </row>
    <row r="37" customFormat="false" ht="15" hidden="false" customHeight="false" outlineLevel="0" collapsed="false">
      <c r="A37" s="5" t="s">
        <v>68</v>
      </c>
      <c r="B37" s="5" t="n">
        <v>8</v>
      </c>
      <c r="C37" s="5" t="s">
        <v>64</v>
      </c>
      <c r="D37" s="6" t="s">
        <v>32</v>
      </c>
      <c r="E37" s="6" t="n">
        <v>8</v>
      </c>
      <c r="F37" s="7" t="n">
        <v>100</v>
      </c>
      <c r="G37" s="8" t="n">
        <f aca="false">IF(OR(E37="",F37=""),"",E37*F37)</f>
        <v>800</v>
      </c>
      <c r="H37" s="9" t="s">
        <v>13</v>
      </c>
    </row>
    <row r="38" customFormat="false" ht="15" hidden="false" customHeight="false" outlineLevel="0" collapsed="false">
      <c r="A38" s="5" t="s">
        <v>69</v>
      </c>
      <c r="B38" s="5" t="n">
        <v>4</v>
      </c>
      <c r="C38" s="5" t="s">
        <v>64</v>
      </c>
      <c r="D38" s="6" t="s">
        <v>12</v>
      </c>
      <c r="E38" s="6" t="n">
        <v>5</v>
      </c>
      <c r="F38" s="7" t="n">
        <v>25</v>
      </c>
      <c r="G38" s="8" t="n">
        <f aca="false">IF(OR(E38="",F38=""),"",E38*F38)</f>
        <v>125</v>
      </c>
      <c r="H38" s="9" t="s">
        <v>13</v>
      </c>
    </row>
    <row r="39" customFormat="false" ht="15" hidden="false" customHeight="false" outlineLevel="0" collapsed="false">
      <c r="A39" s="5" t="s">
        <v>70</v>
      </c>
      <c r="B39" s="5" t="n">
        <v>4</v>
      </c>
      <c r="C39" s="5" t="s">
        <v>64</v>
      </c>
      <c r="D39" s="6" t="s">
        <v>12</v>
      </c>
      <c r="E39" s="6" t="n">
        <v>6</v>
      </c>
      <c r="F39" s="7" t="n">
        <v>20</v>
      </c>
      <c r="G39" s="8" t="n">
        <f aca="false">IF(OR(E39="",F39=""),"",E39*F39)</f>
        <v>120</v>
      </c>
      <c r="H39" s="9" t="s">
        <v>13</v>
      </c>
    </row>
    <row r="40" customFormat="false" ht="15" hidden="false" customHeight="false" outlineLevel="0" collapsed="false">
      <c r="A40" s="5" t="s">
        <v>71</v>
      </c>
      <c r="B40" s="5" t="n">
        <v>10</v>
      </c>
      <c r="C40" s="5" t="s">
        <v>64</v>
      </c>
      <c r="D40" s="6" t="s">
        <v>12</v>
      </c>
      <c r="E40" s="6" t="n">
        <v>10</v>
      </c>
      <c r="F40" s="7" t="n">
        <v>25</v>
      </c>
      <c r="G40" s="8" t="n">
        <f aca="false">IF(OR(E40="",F40=""),"",E40*F40)</f>
        <v>250</v>
      </c>
      <c r="H40" s="9" t="s">
        <v>13</v>
      </c>
    </row>
    <row r="41" customFormat="false" ht="15" hidden="false" customHeight="false" outlineLevel="0" collapsed="false">
      <c r="A41" s="5" t="s">
        <v>72</v>
      </c>
      <c r="B41" s="5" t="n">
        <v>4</v>
      </c>
      <c r="C41" s="5" t="s">
        <v>64</v>
      </c>
      <c r="D41" s="6" t="s">
        <v>12</v>
      </c>
      <c r="E41" s="6" t="n">
        <v>6</v>
      </c>
      <c r="F41" s="7" t="n">
        <v>20</v>
      </c>
      <c r="G41" s="8" t="n">
        <f aca="false">IF(OR(E41="",F41=""),"",E41*F41)</f>
        <v>120</v>
      </c>
      <c r="H41" s="9" t="s">
        <v>13</v>
      </c>
    </row>
    <row r="42" customFormat="false" ht="15" hidden="false" customHeight="false" outlineLevel="0" collapsed="false">
      <c r="A42" s="5" t="s">
        <v>73</v>
      </c>
      <c r="B42" s="5" t="n">
        <v>2</v>
      </c>
      <c r="C42" s="5" t="s">
        <v>64</v>
      </c>
      <c r="D42" s="6" t="s">
        <v>12</v>
      </c>
      <c r="E42" s="6" t="n">
        <v>4</v>
      </c>
      <c r="F42" s="7" t="n">
        <v>25</v>
      </c>
      <c r="G42" s="8" t="n">
        <f aca="false">IF(OR(E42="",F42=""),"",E42*F42)</f>
        <v>100</v>
      </c>
      <c r="H42" s="9" t="s">
        <v>13</v>
      </c>
    </row>
    <row r="43" customFormat="false" ht="15" hidden="false" customHeight="false" outlineLevel="0" collapsed="false">
      <c r="A43" s="5" t="s">
        <v>74</v>
      </c>
      <c r="B43" s="5" t="n">
        <v>12</v>
      </c>
      <c r="C43" s="5" t="s">
        <v>64</v>
      </c>
      <c r="D43" s="6" t="s">
        <v>12</v>
      </c>
      <c r="E43" s="6" t="n">
        <v>12</v>
      </c>
      <c r="F43" s="7" t="n">
        <v>25</v>
      </c>
      <c r="G43" s="8" t="n">
        <f aca="false">IF(OR(E43="",F43=""),"",E43*F43)</f>
        <v>300</v>
      </c>
      <c r="H43" s="9" t="s">
        <v>13</v>
      </c>
    </row>
    <row r="44" customFormat="false" ht="15" hidden="false" customHeight="false" outlineLevel="0" collapsed="false">
      <c r="A44" s="5" t="s">
        <v>75</v>
      </c>
      <c r="B44" s="5" t="n">
        <v>4</v>
      </c>
      <c r="C44" s="5" t="s">
        <v>64</v>
      </c>
      <c r="D44" s="6" t="s">
        <v>12</v>
      </c>
      <c r="E44" s="6" t="n">
        <v>6</v>
      </c>
      <c r="F44" s="7" t="n">
        <v>20</v>
      </c>
      <c r="G44" s="8" t="n">
        <f aca="false">IF(OR(E44="",F44=""),"",E44*F44)</f>
        <v>120</v>
      </c>
      <c r="H44" s="9" t="s">
        <v>13</v>
      </c>
    </row>
    <row r="45" customFormat="false" ht="15" hidden="false" customHeight="false" outlineLevel="0" collapsed="false">
      <c r="F45" s="11" t="s">
        <v>76</v>
      </c>
      <c r="G45" s="12" t="n">
        <f aca="false">SUM(G4:G44)</f>
        <v>71883</v>
      </c>
    </row>
    <row r="47" customFormat="false" ht="15" hidden="false" customHeight="false" outlineLevel="0" collapsed="false">
      <c r="A47" s="13" t="s">
        <v>77</v>
      </c>
    </row>
    <row r="48" customFormat="false" ht="15" hidden="false" customHeight="false" outlineLevel="0" collapsed="false">
      <c r="A48" s="4" t="s">
        <v>78</v>
      </c>
      <c r="B48" s="4" t="s">
        <v>79</v>
      </c>
      <c r="C48" s="4" t="s">
        <v>80</v>
      </c>
      <c r="D48" s="4" t="s">
        <v>81</v>
      </c>
      <c r="E48" s="4" t="s">
        <v>82</v>
      </c>
    </row>
    <row r="49" customFormat="false" ht="90.25" hidden="false" customHeight="false" outlineLevel="0" collapsed="false">
      <c r="A49" s="14" t="n">
        <v>3</v>
      </c>
      <c r="B49" s="14" t="s">
        <v>83</v>
      </c>
      <c r="C49" s="14" t="s">
        <v>84</v>
      </c>
      <c r="D49" s="14" t="s">
        <v>85</v>
      </c>
      <c r="E49" s="14" t="s">
        <v>86</v>
      </c>
    </row>
    <row r="50" customFormat="false" ht="141" hidden="false" customHeight="false" outlineLevel="0" collapsed="false">
      <c r="A50" s="14" t="n">
        <v>3</v>
      </c>
      <c r="B50" s="14" t="s">
        <v>87</v>
      </c>
      <c r="C50" s="14" t="s">
        <v>88</v>
      </c>
      <c r="D50" s="14" t="s">
        <v>89</v>
      </c>
      <c r="E50" s="14" t="s">
        <v>90</v>
      </c>
    </row>
    <row r="51" customFormat="false" ht="217.15" hidden="false" customHeight="false" outlineLevel="0" collapsed="false">
      <c r="A51" s="14" t="n">
        <v>50</v>
      </c>
      <c r="B51" s="14" t="s">
        <v>91</v>
      </c>
      <c r="C51" s="14" t="s">
        <v>92</v>
      </c>
      <c r="D51" s="14" t="s">
        <v>93</v>
      </c>
      <c r="E51" s="14" t="s">
        <v>94</v>
      </c>
    </row>
    <row r="52" customFormat="false" ht="496.25" hidden="false" customHeight="false" outlineLevel="0" collapsed="false">
      <c r="A52" s="14" t="n">
        <v>8</v>
      </c>
      <c r="B52" s="14" t="s">
        <v>95</v>
      </c>
      <c r="C52" s="14" t="s">
        <v>96</v>
      </c>
      <c r="D52" s="14" t="s">
        <v>97</v>
      </c>
      <c r="E52" s="14" t="s">
        <v>98</v>
      </c>
    </row>
    <row r="53" customFormat="false" ht="115.65" hidden="false" customHeight="false" outlineLevel="0" collapsed="false">
      <c r="A53" s="14" t="n">
        <v>6</v>
      </c>
      <c r="B53" s="14" t="s">
        <v>99</v>
      </c>
      <c r="C53" s="14" t="s">
        <v>100</v>
      </c>
      <c r="D53" s="14" t="s">
        <v>101</v>
      </c>
      <c r="E53" s="14" t="s">
        <v>102</v>
      </c>
    </row>
    <row r="54" customFormat="false" ht="39.55" hidden="false" customHeight="false" outlineLevel="0" collapsed="false">
      <c r="A54" s="14" t="n">
        <v>1</v>
      </c>
      <c r="B54" s="14" t="s">
        <v>14</v>
      </c>
      <c r="C54" s="14" t="s">
        <v>103</v>
      </c>
      <c r="D54" s="14" t="s">
        <v>104</v>
      </c>
      <c r="E54" s="14" t="s">
        <v>105</v>
      </c>
    </row>
    <row r="55" customFormat="false" ht="77.6" hidden="false" customHeight="false" outlineLevel="0" collapsed="false">
      <c r="A55" s="14" t="n">
        <v>6</v>
      </c>
      <c r="B55" s="14" t="s">
        <v>106</v>
      </c>
      <c r="C55" s="14" t="s">
        <v>88</v>
      </c>
      <c r="D55" s="14" t="s">
        <v>89</v>
      </c>
      <c r="E55" s="14" t="s">
        <v>107</v>
      </c>
    </row>
    <row r="57" customFormat="false" ht="15" hidden="false" customHeight="false" outlineLevel="0" collapsed="false">
      <c r="A57" s="15" t="s">
        <v>108</v>
      </c>
    </row>
    <row r="58" customFormat="false" ht="15" hidden="false" customHeight="false" outlineLevel="0" collapsed="false">
      <c r="A58" s="16" t="s">
        <v>109</v>
      </c>
    </row>
    <row r="59" customFormat="false" ht="15" hidden="false" customHeight="false" outlineLevel="0" collapsed="false">
      <c r="A59" s="16" t="s">
        <v>110</v>
      </c>
    </row>
    <row r="60" customFormat="false" ht="15" hidden="false" customHeight="false" outlineLevel="0" collapsed="false">
      <c r="A60" s="16" t="s">
        <v>111</v>
      </c>
    </row>
    <row r="61" customFormat="false" ht="15" hidden="false" customHeight="false" outlineLevel="0" collapsed="false">
      <c r="A61" s="16" t="s">
        <v>112</v>
      </c>
    </row>
    <row r="62" customFormat="false" ht="15" hidden="false" customHeight="false" outlineLevel="0" collapsed="false">
      <c r="A62" s="16" t="s">
        <v>113</v>
      </c>
    </row>
    <row r="64" customFormat="false" ht="15" hidden="false" customHeight="false" outlineLevel="0" collapsed="false">
      <c r="A64" s="11" t="s">
        <v>114</v>
      </c>
    </row>
    <row r="65" customFormat="false" ht="15" hidden="false" customHeight="false" outlineLevel="0" collapsed="false">
      <c r="A65" s="16" t="s">
        <v>115</v>
      </c>
    </row>
    <row r="66" customFormat="false" ht="15" hidden="false" customHeight="false" outlineLevel="0" collapsed="false">
      <c r="A66" s="16" t="s">
        <v>116</v>
      </c>
    </row>
    <row r="67" customFormat="false" ht="15" hidden="false" customHeight="false" outlineLevel="0" collapsed="false">
      <c r="A67" s="16" t="s">
        <v>117</v>
      </c>
    </row>
    <row r="68" customFormat="false" ht="15" hidden="false" customHeight="false" outlineLevel="0" collapsed="false">
      <c r="A68" s="16" t="s">
        <v>118</v>
      </c>
    </row>
    <row r="69" customFormat="false" ht="15" hidden="false" customHeight="false" outlineLevel="0" collapsed="false">
      <c r="A69" s="16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2026-10-04T23:05:47Z</dcterms:created>
  <dc:creator>openpyxl</dc:creator>
  <dc:description/>
  <dc:language>es-ES</dc:language>
  <cp:lastModifiedBy/>
  <dcterms:modified xsi:type="dcterms:W3CDTF">2026-10-05T22:54:48Z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