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por modulo" sheetId="1" state="visible" r:id="rId3"/>
    <sheet name="Resumen" sheetId="2" state="visible" r:id="rId4"/>
    <sheet name="Requisitos IC" sheetId="3" state="visible" r:id="rId5"/>
    <sheet name="Tiendas" sheetId="4" state="visible" r:id="rId6"/>
  </sheets>
  <definedNames>
    <definedName function="false" hidden="true" localSheetId="0" name="_xlnm._FilterDatabase" vbProcedure="false">'BoM por modulo'!$A$4:$Q$71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<sst xmlns="http://schemas.openxmlformats.org/spreadsheetml/2006/main" count="663" uniqueCount="381">
  <si>
    <t xml:space="preserve">BoM AFE sEMG AuraVox: 4 canales, 9 electrodos, RLD. Ordenada por modulo, igual que los recuadros del esquematico LTspice (sim/ltspice).</t>
  </si>
  <si>
    <t xml:space="preserve">Celdas amarillas = las llenas tu (tienda, precio, estado). Las cantidades y subtotales se calculan solos.</t>
  </si>
  <si>
    <t xml:space="preserve">Modulo</t>
  </si>
  <si>
    <t xml:space="preserve">Ref. en esquematico</t>
  </si>
  <si>
    <t xml:space="preserve">Componente</t>
  </si>
  <si>
    <t xml:space="preserve">Valor de diseno</t>
  </si>
  <si>
    <t xml:space="preserve">Valor a comprar</t>
  </si>
  <si>
    <t xml:space="preserve">Tipo / tolerancia</t>
  </si>
  <si>
    <t xml:space="preserve">Cant. por canal</t>
  </si>
  <si>
    <t xml:space="preserve">N canales</t>
  </si>
  <si>
    <t xml:space="preserve">Cant. total</t>
  </si>
  <si>
    <t xml:space="preserve">Repuesto</t>
  </si>
  <si>
    <t xml:space="preserve">A comprar</t>
  </si>
  <si>
    <t xml:space="preserve">Buscar como</t>
  </si>
  <si>
    <t xml:space="preserve">Tienda</t>
  </si>
  <si>
    <t xml:space="preserve">Precio unit. (CLP)</t>
  </si>
  <si>
    <t xml:space="preserve">Subtotal (CLP)</t>
  </si>
  <si>
    <t xml:space="preserve">Estado</t>
  </si>
  <si>
    <t xml:space="preserve">Notas</t>
  </si>
  <si>
    <t xml:space="preserve">1 PROTECCION ESD</t>
  </si>
  <si>
    <t xml:space="preserve">por canal (x4)</t>
  </si>
  <si>
    <t xml:space="preserve">Rsp, Rsn</t>
  </si>
  <si>
    <t xml:space="preserve">Resistencia serie de entrada</t>
  </si>
  <si>
    <t xml:space="preserve">100k</t>
  </si>
  <si>
    <t xml:space="preserve">pelicula metalica 1 % 1/4 W</t>
  </si>
  <si>
    <t xml:space="preserve">resistencia 100k 1% 1/4W</t>
  </si>
  <si>
    <t xml:space="preserve">Pendiente</t>
  </si>
  <si>
    <t xml:space="preserve">Limita la corriente de falla hacia el paciente y hacia el INA</t>
  </si>
  <si>
    <t xml:space="preserve">Dp1, Dp2, Dn1, Dn2</t>
  </si>
  <si>
    <t xml:space="preserve">Diodo de clamp a VCC y GND</t>
  </si>
  <si>
    <t xml:space="preserve">1N4148</t>
  </si>
  <si>
    <t xml:space="preserve">diodo de senal</t>
  </si>
  <si>
    <t xml:space="preserve">4 por canal x 4 = 16 (+4 repuesto = 20). Protegen el INA de descargas</t>
  </si>
  <si>
    <t xml:space="preserve">2 FILTRO RFI</t>
  </si>
  <si>
    <t xml:space="preserve">Rfp, Rfn</t>
  </si>
  <si>
    <t xml:space="preserve">Resistencia del filtro RFI</t>
  </si>
  <si>
    <t xml:space="preserve">1k</t>
  </si>
  <si>
    <t xml:space="preserve">pelicula metalica 1 %</t>
  </si>
  <si>
    <t xml:space="preserve">resistencia 1k 1%</t>
  </si>
  <si>
    <t xml:space="preserve">Ccmp, Ccmn</t>
  </si>
  <si>
    <t xml:space="preserve">Condensador de modo comun</t>
  </si>
  <si>
    <t xml:space="preserve">47p</t>
  </si>
  <si>
    <t xml:space="preserve">ceramico C0G/NP0 5 %</t>
  </si>
  <si>
    <t xml:space="preserve">condensador ceramico 47pF NP0</t>
  </si>
  <si>
    <t xml:space="preserve">Si la simulacion final elige 330k sin Ccm, no se usan</t>
  </si>
  <si>
    <t xml:space="preserve">Cdif</t>
  </si>
  <si>
    <t xml:space="preserve">Condensador diferencial</t>
  </si>
  <si>
    <t xml:space="preserve">100p</t>
  </si>
  <si>
    <t xml:space="preserve">condensador ceramico 100pF NP0</t>
  </si>
  <si>
    <t xml:space="preserve">3 AMPLIFICADOR DE INSTRUMENTACION</t>
  </si>
  <si>
    <t xml:space="preserve">XINA</t>
  </si>
  <si>
    <t xml:space="preserve">INA (POR DEFINIR, ver hoja Requisitos IC)</t>
  </si>
  <si>
    <t xml:space="preserve">INA333</t>
  </si>
  <si>
    <t xml:space="preserve">INA333 / AD623 / AD8226 / INA826</t>
  </si>
  <si>
    <t xml:space="preserve">DIP-8 o modulo con RG accesible</t>
  </si>
  <si>
    <t xml:space="preserve">INA333 o AD623AN DIP-8</t>
  </si>
  <si>
    <t xml:space="preserve">G1 = 1 + 100k/RG para INA333/AD623/AD8226/INA826</t>
  </si>
  <si>
    <t xml:space="preserve">RGa, RGb</t>
  </si>
  <si>
    <t xml:space="preserve">Resistencia de ganancia (partida en dos)</t>
  </si>
  <si>
    <t xml:space="preserve">2.61k</t>
  </si>
  <si>
    <t xml:space="preserve">2.7k</t>
  </si>
  <si>
    <t xml:space="preserve">pelicula metalica 1 %, parear con multimetro</t>
  </si>
  <si>
    <t xml:space="preserve">resistencia 2.7k 1%</t>
  </si>
  <si>
    <t xml:space="preserve">Con 2 x 2.7k: G1 = 19.5 (diseno 20.16). El punto medio va al RLD</t>
  </si>
  <si>
    <t xml:space="preserve">C desac. INA</t>
  </si>
  <si>
    <t xml:space="preserve">Desacople del INA</t>
  </si>
  <si>
    <t xml:space="preserve">100n</t>
  </si>
  <si>
    <t xml:space="preserve">ceramico X7R</t>
  </si>
  <si>
    <t xml:space="preserve">condensador ceramico 100nF</t>
  </si>
  <si>
    <t xml:space="preserve">Pegado al pin de alimentacion</t>
  </si>
  <si>
    <t xml:space="preserve">4 HPF 20 Hz (Sallen-Key)</t>
  </si>
  <si>
    <t xml:space="preserve">Chp1, Chp2</t>
  </si>
  <si>
    <t xml:space="preserve">Condensador del HPF</t>
  </si>
  <si>
    <t xml:space="preserve">poliester/MKT (film) 5 %</t>
  </si>
  <si>
    <t xml:space="preserve">condensador poliester 100nF 5%</t>
  </si>
  <si>
    <t xml:space="preserve">Film, no ceramico: estabilidad y bajo ruido</t>
  </si>
  <si>
    <t xml:space="preserve">R1</t>
  </si>
  <si>
    <t xml:space="preserve">Resistencia de realimentacion</t>
  </si>
  <si>
    <t xml:space="preserve">56.2k</t>
  </si>
  <si>
    <t xml:space="preserve">56k</t>
  </si>
  <si>
    <t xml:space="preserve">resistencia 56k 1%</t>
  </si>
  <si>
    <t xml:space="preserve">Con 56k/110k: f0 = 20.3 Hz, Q = 0.70</t>
  </si>
  <si>
    <t xml:space="preserve">Ra</t>
  </si>
  <si>
    <t xml:space="preserve">Resistencia a VREF</t>
  </si>
  <si>
    <t xml:space="preserve">113k</t>
  </si>
  <si>
    <t xml:space="preserve">110k</t>
  </si>
  <si>
    <t xml:space="preserve">resistencia 110k 1%</t>
  </si>
  <si>
    <t xml:space="preserve">XHP</t>
  </si>
  <si>
    <t xml:space="preserve">seccion de op-amp</t>
  </si>
  <si>
    <t xml:space="preserve">-</t>
  </si>
  <si>
    <t xml:space="preserve">Contada en el modulo 11 OP-AMPS</t>
  </si>
  <si>
    <t xml:space="preserve">5 G2 = 25</t>
  </si>
  <si>
    <t xml:space="preserve">Rf</t>
  </si>
  <si>
    <t xml:space="preserve">240k</t>
  </si>
  <si>
    <t xml:space="preserve">resistencia 240k 1%</t>
  </si>
  <si>
    <t xml:space="preserve">Rg</t>
  </si>
  <si>
    <t xml:space="preserve">Resistencia de ganancia</t>
  </si>
  <si>
    <t xml:space="preserve">10k</t>
  </si>
  <si>
    <t xml:space="preserve">resistencia 10k 1%</t>
  </si>
  <si>
    <t xml:space="preserve">Cg</t>
  </si>
  <si>
    <t xml:space="preserve">Condensador de bloqueo DC (G = 1 en DC)</t>
  </si>
  <si>
    <t xml:space="preserve">10u</t>
  </si>
  <si>
    <t xml:space="preserve">ceramico X7R o electrolitico 16 V</t>
  </si>
  <si>
    <t xml:space="preserve">condensador 10uF</t>
  </si>
  <si>
    <t xml:space="preserve">XG2</t>
  </si>
  <si>
    <t xml:space="preserve">6 LPF A 500 Hz (Q 0.541)</t>
  </si>
  <si>
    <t xml:space="preserve">Rla1, Rla2</t>
  </si>
  <si>
    <t xml:space="preserve">Resistencia del LPF A</t>
  </si>
  <si>
    <t xml:space="preserve">88.7k</t>
  </si>
  <si>
    <t xml:space="preserve">91k</t>
  </si>
  <si>
    <t xml:space="preserve">resistencia 91k 1%</t>
  </si>
  <si>
    <t xml:space="preserve">Con 91k: f0 = 487 Hz</t>
  </si>
  <si>
    <t xml:space="preserve">C11</t>
  </si>
  <si>
    <t xml:space="preserve">Condensador de realimentacion</t>
  </si>
  <si>
    <t xml:space="preserve">3.9n</t>
  </si>
  <si>
    <t xml:space="preserve">poliester 5 % o C0G</t>
  </si>
  <si>
    <t xml:space="preserve">condensador poliester 3.9nF</t>
  </si>
  <si>
    <t xml:space="preserve">C12</t>
  </si>
  <si>
    <t xml:space="preserve">Condensador a GND</t>
  </si>
  <si>
    <t xml:space="preserve">3.3n</t>
  </si>
  <si>
    <t xml:space="preserve">condensador poliester 3.3nF</t>
  </si>
  <si>
    <t xml:space="preserve">XLA</t>
  </si>
  <si>
    <t xml:space="preserve">7 LPF B 500 Hz (Q 1.306)</t>
  </si>
  <si>
    <t xml:space="preserve">Rlb1, Rlb2</t>
  </si>
  <si>
    <t xml:space="preserve">Resistencia del LPF B</t>
  </si>
  <si>
    <t xml:space="preserve">54.9k</t>
  </si>
  <si>
    <t xml:space="preserve">Con 56k: f0 = 495 Hz</t>
  </si>
  <si>
    <t xml:space="preserve">C21</t>
  </si>
  <si>
    <t xml:space="preserve">15n</t>
  </si>
  <si>
    <t xml:space="preserve">condensador poliester 15nF</t>
  </si>
  <si>
    <t xml:space="preserve">C22</t>
  </si>
  <si>
    <t xml:space="preserve">2.2n</t>
  </si>
  <si>
    <t xml:space="preserve">condensador poliester 2.2nF</t>
  </si>
  <si>
    <t xml:space="preserve">XLB</t>
  </si>
  <si>
    <t xml:space="preserve">8 BUFFER + SALIDA AL ADC</t>
  </si>
  <si>
    <t xml:space="preserve">Rbk</t>
  </si>
  <si>
    <t xml:space="preserve">Resistencia del bucket</t>
  </si>
  <si>
    <t xml:space="preserve">100</t>
  </si>
  <si>
    <t xml:space="preserve">resistencia 100 ohm 1%</t>
  </si>
  <si>
    <t xml:space="preserve">Cbk</t>
  </si>
  <si>
    <t xml:space="preserve">Condensador del bucket</t>
  </si>
  <si>
    <t xml:space="preserve">1n</t>
  </si>
  <si>
    <t xml:space="preserve">ceramico C0G/NP0</t>
  </si>
  <si>
    <t xml:space="preserve">condensador ceramico 1nF NP0</t>
  </si>
  <si>
    <t xml:space="preserve">ADCk</t>
  </si>
  <si>
    <t xml:space="preserve">Cable a Arduino A0..A3 del STM32N6570-DK</t>
  </si>
  <si>
    <t xml:space="preserve">jumper Dupont</t>
  </si>
  <si>
    <t xml:space="preserve">cable dupont macho-macho</t>
  </si>
  <si>
    <t xml:space="preserve">CH1-A0 (PA5), CH2-A1 (PA9), CH3-A2 (PA10), CH4-A3 (PA12). Mas 1 cable de GND</t>
  </si>
  <si>
    <t xml:space="preserve">XBF</t>
  </si>
  <si>
    <t xml:space="preserve">9 VREF 1.65 V (compartido)</t>
  </si>
  <si>
    <t xml:space="preserve">compartido</t>
  </si>
  <si>
    <t xml:space="preserve">RA1, RA2</t>
  </si>
  <si>
    <t xml:space="preserve">Divisor de VREF</t>
  </si>
  <si>
    <t xml:space="preserve">resistencia 100k 1%</t>
  </si>
  <si>
    <t xml:space="preserve">CA</t>
  </si>
  <si>
    <t xml:space="preserve">Condensador del divisor</t>
  </si>
  <si>
    <t xml:space="preserve">ceramico X7R o electrolitico</t>
  </si>
  <si>
    <t xml:space="preserve">XVR</t>
  </si>
  <si>
    <t xml:space="preserve">10 RLD (compartido)</t>
  </si>
  <si>
    <t xml:space="preserve">RSM1..RSM4</t>
  </si>
  <si>
    <t xml:space="preserve">Sensado de modo comun (punto medio de RG)</t>
  </si>
  <si>
    <t xml:space="preserve">604k</t>
  </si>
  <si>
    <t xml:space="preserve">620k</t>
  </si>
  <si>
    <t xml:space="preserve">resistencia 620k 1%</t>
  </si>
  <si>
    <t xml:space="preserve">CINT</t>
  </si>
  <si>
    <t xml:space="preserve">Condensador del integrador</t>
  </si>
  <si>
    <t xml:space="preserve">Si oscila en banco: 2.2n</t>
  </si>
  <si>
    <t xml:space="preserve">RPAR</t>
  </si>
  <si>
    <t xml:space="preserve">Resistencia en paralelo al integrador</t>
  </si>
  <si>
    <t xml:space="preserve">10M</t>
  </si>
  <si>
    <t xml:space="preserve">pelicula 5 %</t>
  </si>
  <si>
    <t xml:space="preserve">resistencia 10M</t>
  </si>
  <si>
    <t xml:space="preserve">RLIM</t>
  </si>
  <si>
    <t xml:space="preserve">Resistencia de seguridad al electrodo RLD</t>
  </si>
  <si>
    <t xml:space="preserve">390k</t>
  </si>
  <si>
    <t xml:space="preserve">resistencia 390k 1%</t>
  </si>
  <si>
    <t xml:space="preserve">Limita la corriente al paciente</t>
  </si>
  <si>
    <t xml:space="preserve">XRLD</t>
  </si>
  <si>
    <t xml:space="preserve">11 OP-AMPS (paquetes)</t>
  </si>
  <si>
    <t xml:space="preserve">XHP..XBF x4, XRLD, XVR</t>
  </si>
  <si>
    <t xml:space="preserve">Op-amp cuadruple (POR DEFINIR, ver hoja Requisitos IC)</t>
  </si>
  <si>
    <t xml:space="preserve">MCP6004</t>
  </si>
  <si>
    <t xml:space="preserve">cuadruple rail-to-rail</t>
  </si>
  <si>
    <t xml:space="preserve">DIP-14</t>
  </si>
  <si>
    <t xml:space="preserve">MCP6004 / MCP604 / TLV2374 / OPA4340</t>
  </si>
  <si>
    <t xml:space="preserve">22 secciones = 5 por canal x 4 + RLD + VREF (2 libres). Si es doble: 11 unidades DIP-8</t>
  </si>
  <si>
    <t xml:space="preserve">Zocalo DIP-14</t>
  </si>
  <si>
    <t xml:space="preserve">zocalo</t>
  </si>
  <si>
    <t xml:space="preserve">zocalo DIP 14 pines</t>
  </si>
  <si>
    <t xml:space="preserve">Si los op-amps son dobles: 11 zocalos DIP-8</t>
  </si>
  <si>
    <t xml:space="preserve">Desacople de cada op-amp</t>
  </si>
  <si>
    <t xml:space="preserve">12 ALIMENTACION (a bateria)</t>
  </si>
  <si>
    <t xml:space="preserve">Regulador LDO 3.3 V</t>
  </si>
  <si>
    <t xml:space="preserve">MCP1700-3302E</t>
  </si>
  <si>
    <t xml:space="preserve">MCP1700-3302E TO-92</t>
  </si>
  <si>
    <t xml:space="preserve">LDO 250 mA</t>
  </si>
  <si>
    <t xml:space="preserve">MCP1700 3.3V TO-92</t>
  </si>
  <si>
    <t xml:space="preserve">HUBOT</t>
  </si>
  <si>
    <t xml:space="preserve">EJEMPLO de llenado: CLP 890 c/IVA en hubot.cl (30-sep-2026). Tu LDO de 3.0 V no sirve</t>
  </si>
  <si>
    <t xml:space="preserve">Condensadores del LDO (entrada y salida)</t>
  </si>
  <si>
    <t xml:space="preserve">1u</t>
  </si>
  <si>
    <t xml:space="preserve">condensador ceramico 1uF</t>
  </si>
  <si>
    <t xml:space="preserve">Ya tienes 2 x 1uF 0402 (SMD): sirven si los sueldas</t>
  </si>
  <si>
    <t xml:space="preserve">Condensador bulk del riel 3.3 V</t>
  </si>
  <si>
    <t xml:space="preserve">ceramico o electrolitico</t>
  </si>
  <si>
    <t xml:space="preserve">Portapilas 3 x AA</t>
  </si>
  <si>
    <t xml:space="preserve">3xAA</t>
  </si>
  <si>
    <t xml:space="preserve">portapilas 3 AA</t>
  </si>
  <si>
    <t xml:space="preserve">4.5 V nominal; mantiene el AFE aislado de la red</t>
  </si>
  <si>
    <t xml:space="preserve">Pilas AA</t>
  </si>
  <si>
    <t xml:space="preserve">AA</t>
  </si>
  <si>
    <t xml:space="preserve">alcalina</t>
  </si>
  <si>
    <t xml:space="preserve">pila AA</t>
  </si>
  <si>
    <t xml:space="preserve">Interruptor</t>
  </si>
  <si>
    <t xml:space="preserve">deslizante</t>
  </si>
  <si>
    <t xml:space="preserve">interruptor deslizante</t>
  </si>
  <si>
    <t xml:space="preserve">13 ELECTRODOS Y CABLES</t>
  </si>
  <si>
    <t xml:space="preserve">XE1P..XE4N, XER</t>
  </si>
  <si>
    <t xml:space="preserve">Electrodo Ag/AgCl con broche</t>
  </si>
  <si>
    <t xml:space="preserve">3M Red Dot 2228/2560</t>
  </si>
  <si>
    <t xml:space="preserve">desechable</t>
  </si>
  <si>
    <t xml:space="preserve">electrodo ECG 3M 2228</t>
  </si>
  <si>
    <t xml:space="preserve">9 por sesion (8 de senal + 1 RLD); caja de 50</t>
  </si>
  <si>
    <t xml:space="preserve">Cable con broche (snap) para electrodo</t>
  </si>
  <si>
    <t xml:space="preserve">broche 4 mm</t>
  </si>
  <si>
    <t xml:space="preserve">cable electrodo broche snap</t>
  </si>
  <si>
    <t xml:space="preserve">O 3 cables ECG de 3 derivaciones</t>
  </si>
  <si>
    <t xml:space="preserve">Alcohol isopropilico / gel</t>
  </si>
  <si>
    <t xml:space="preserve">alcohol isopropilico</t>
  </si>
  <si>
    <t xml:space="preserve">Preparar la piel</t>
  </si>
  <si>
    <t xml:space="preserve">14 MECANICA E INTERCONEXION</t>
  </si>
  <si>
    <t xml:space="preserve">Perfboard</t>
  </si>
  <si>
    <t xml:space="preserve">10 x 15 cm</t>
  </si>
  <si>
    <t xml:space="preserve">fibra de vidrio</t>
  </si>
  <si>
    <t xml:space="preserve">placa perforada 10x15</t>
  </si>
  <si>
    <t xml:space="preserve">Zocalo DIP-8 (INA)</t>
  </si>
  <si>
    <t xml:space="preserve">DIP-8</t>
  </si>
  <si>
    <t xml:space="preserve">zocalo DIP 8 pines</t>
  </si>
  <si>
    <t xml:space="preserve">Solo si el INA es DIP-8</t>
  </si>
  <si>
    <t xml:space="preserve">Adaptador SOIC/MSOP-8 a DIP-8</t>
  </si>
  <si>
    <t xml:space="preserve">PCB adaptador</t>
  </si>
  <si>
    <t xml:space="preserve">adaptador SOIC8 a DIP8</t>
  </si>
  <si>
    <t xml:space="preserve">Solo si el INA es SMD</t>
  </si>
  <si>
    <t xml:space="preserve">Tira de headers macho/hembra</t>
  </si>
  <si>
    <t xml:space="preserve">2.54 mm</t>
  </si>
  <si>
    <t xml:space="preserve">header 2.54mm 40 pines</t>
  </si>
  <si>
    <t xml:space="preserve">Cable para puentes</t>
  </si>
  <si>
    <t xml:space="preserve">24 AWG rigido</t>
  </si>
  <si>
    <t xml:space="preserve">cable rigido 24 AWG</t>
  </si>
  <si>
    <t xml:space="preserve">TOTAL</t>
  </si>
  <si>
    <t xml:space="preserve">Resumen por modulo</t>
  </si>
  <si>
    <t xml:space="preserve">Items</t>
  </si>
  <si>
    <t xml:space="preserve">Pendientes</t>
  </si>
  <si>
    <t xml:space="preserve">El total solo suma las filas con precio. Llena el precio en la hoja BoM por modulo.</t>
  </si>
  <si>
    <t xml:space="preserve">Condiciones que debe cumplir cada circuito integrado (para elegir reemplazos)</t>
  </si>
  <si>
    <t xml:space="preserve">OP-AMP (reemplazo del MCP6004): 22 secciones = HPF, G2, LPF A, LPF B y buffer en cada canal + RLD + VREF</t>
  </si>
  <si>
    <t xml:space="preserve">Parametro</t>
  </si>
  <si>
    <t xml:space="preserve">Requisito</t>
  </si>
  <si>
    <t xml:space="preserve">Por que (en este diseno)</t>
  </si>
  <si>
    <t xml:space="preserve">Alimentacion unica</t>
  </si>
  <si>
    <t xml:space="preserve">Funciona con 3.3 V: Vmin &lt;= 3.0 V (ideal &lt;= 2.7 V), Vmax &gt;= 3.6 V</t>
  </si>
  <si>
    <t xml:space="preserve">Todo el AFE vive en 3.3 V a bateria</t>
  </si>
  <si>
    <t xml:space="preserve">Salida rail-to-rail</t>
  </si>
  <si>
    <t xml:space="preserve">Llega a &lt;= 0.1 V de cada riel con 10 kohm</t>
  </si>
  <si>
    <t xml:space="preserve">La salida va de 0 a 3.3 V centrada en 1.65 V. LM358/LM324 no suben de ~1.8 V con 3.3 V</t>
  </si>
  <si>
    <t xml:space="preserve">Rango de entrada en modo comun</t>
  </si>
  <si>
    <t xml:space="preserve">Minimo 0.8-2.5 V (VREF +-0.85 V); ideal rail-to-rail</t>
  </si>
  <si>
    <t xml:space="preserve">En los filtros y buffers la entrada sigue a la salida</t>
  </si>
  <si>
    <t xml:space="preserve">Producto ganancia-ancho de banda (GBW)</t>
  </si>
  <si>
    <t xml:space="preserve">&gt;= 0.5 MHz (ideal &gt;= 1 MHz)</t>
  </si>
  <si>
    <t xml:space="preserve">G2 = 25 hasta 500 Hz y LPF con Q = 1.3</t>
  </si>
  <si>
    <t xml:space="preserve">Estable a ganancia 1</t>
  </si>
  <si>
    <t xml:space="preserve">Si</t>
  </si>
  <si>
    <t xml:space="preserve">HPF, LPF y buffers son seguidores</t>
  </si>
  <si>
    <t xml:space="preserve">Corriente de polarizacion</t>
  </si>
  <si>
    <t xml:space="preserve">&lt;= 10 nA (entrada CMOS ideal)</t>
  </si>
  <si>
    <t xml:space="preserve">Resistencias de 56-240 kohm: 10 nA x 110k = 1.1 mV</t>
  </si>
  <si>
    <t xml:space="preserve">Offset</t>
  </si>
  <si>
    <t xml:space="preserve">&lt;= 5 mV</t>
  </si>
  <si>
    <t xml:space="preserve">G2 tiene ganancia 1 en DC: el offset no se amplifica</t>
  </si>
  <si>
    <t xml:space="preserve">Ruido de entrada</t>
  </si>
  <si>
    <t xml:space="preserve">&lt;= 40 nV/rtHz</t>
  </si>
  <si>
    <t xml:space="preserve">Va despues de G1 = 20: no domina</t>
  </si>
  <si>
    <t xml:space="preserve">Consumo</t>
  </si>
  <si>
    <t xml:space="preserve">&lt;= 0.5 mA por amplificador</t>
  </si>
  <si>
    <t xml:space="preserve">Bateria</t>
  </si>
  <si>
    <t xml:space="preserve">Encapsulado</t>
  </si>
  <si>
    <t xml:space="preserve">DIP-8/DIP-14, o SOIC con adaptador</t>
  </si>
  <si>
    <t xml:space="preserve">SI sirven</t>
  </si>
  <si>
    <t xml:space="preserve">MCP6004/MCP6002, MCP604/MCP602, MCP6024/MCP6022, TLV2374/TLV2372, OPA4340/OPA2340, OPA4344/OPA2344, AD8608/AD8606</t>
  </si>
  <si>
    <t xml:space="preserve">Con reservas</t>
  </si>
  <si>
    <t xml:space="preserve">LMV324/LMV358 (entrada solo hasta V+ - 0.8 V; alcanza para +-0.85 V; suelen ser SMD)</t>
  </si>
  <si>
    <t xml:space="preserve">NO sirven</t>
  </si>
  <si>
    <t xml:space="preserve">LM358, LM324, TL071/TL072/TL074, NE5532, LM741, LF347, JRC4558, LM833, TLC2272 (no llegan a los rieles con 3.3 V o necesitan mas voltaje)</t>
  </si>
  <si>
    <t xml:space="preserve">INA (amplificador de instrumentacion): 4 unidades, una por canal</t>
  </si>
  <si>
    <t xml:space="preserve">Funciona con 3.3 V: Vmin &lt;= 3.0 V</t>
  </si>
  <si>
    <t xml:space="preserve">Mismo riel que los op-amps</t>
  </si>
  <si>
    <t xml:space="preserve">Salida</t>
  </si>
  <si>
    <t xml:space="preserve">Rail-to-rail, o al menos 0.2-3.1 V</t>
  </si>
  <si>
    <t xml:space="preserve">La salida se centra en VREF = 1.65 V</t>
  </si>
  <si>
    <t xml:space="preserve">Debe incluir 1.4-1.9 V con alimentacion de 3.3 V</t>
  </si>
  <si>
    <t xml:space="preserve">El RLD mantiene el cuerpo en VREF = 1.65 V</t>
  </si>
  <si>
    <t xml:space="preserve">Ganancia</t>
  </si>
  <si>
    <t xml:space="preserve">Fijada por una sola RG, con los dos pines de RG accesibles</t>
  </si>
  <si>
    <t xml:space="preserve">El RLD sensa el punto medio de RG. Un modulo con potenciometro obliga a reemplazarlo por 2 resistencias</t>
  </si>
  <si>
    <t xml:space="preserve">Formula de ganancia</t>
  </si>
  <si>
    <t xml:space="preserve">G = 1 + 100k/RG: INA333, AD623, AD8226, INA826 (RG = 2 x 2.7k). INA122: G = 5 + 200k/RG. INA126: G = 5 + 80k/RG</t>
  </si>
  <si>
    <t xml:space="preserve">G1 objetivo ~20</t>
  </si>
  <si>
    <t xml:space="preserve">CMRR</t>
  </si>
  <si>
    <t xml:space="preserve">&gt;= 90 dB a G = 20 (DC a 50 Hz)</t>
  </si>
  <si>
    <t xml:space="preserve">Rechazo del 50 Hz de la red</t>
  </si>
  <si>
    <t xml:space="preserve">&lt;= 25 nA</t>
  </si>
  <si>
    <t xml:space="preserve">Con 100k de proteccion: &lt;= 2.5 mV de offset</t>
  </si>
  <si>
    <t xml:space="preserve">&lt;= 50 nV/rtHz</t>
  </si>
  <si>
    <t xml:space="preserve">Senal sEMG de 25-50 uV RMS</t>
  </si>
  <si>
    <t xml:space="preserve">Ancho de banda a G = 20</t>
  </si>
  <si>
    <t xml:space="preserve">&gt;= 5 kHz</t>
  </si>
  <si>
    <t xml:space="preserve">Banda util 20-500 Hz</t>
  </si>
  <si>
    <t xml:space="preserve">DIP-8, o SOIC/MSOP con adaptador, o modulo con RG accesible</t>
  </si>
  <si>
    <t xml:space="preserve">INA333 (ideal), AD8226, INA826</t>
  </si>
  <si>
    <t xml:space="preserve">AD623 (modo comun max ~ Vs - 1.5 V = 1.8 V con 3.3 V: margen de 0.15 V sobre VREF); INA122/INA126 (recalcular RG)</t>
  </si>
  <si>
    <t xml:space="preserve">AD623AN DIP-8: 2 u por CLP 16.170 en Mercado Libre (30-sep-2026)</t>
  </si>
  <si>
    <t xml:space="preserve">AD620, INA128, INA129, INA114, INA118 (necesitan ~4.6 V o mas y no tienen salida rail-to-rail); AD8232 (frontend completo de 1 canal, choca con el RLD compartido)</t>
  </si>
  <si>
    <t xml:space="preserve">LDO 3.3 V (alimentacion del AFE)</t>
  </si>
  <si>
    <t xml:space="preserve">3.3 V fija, &gt;= 50 mA</t>
  </si>
  <si>
    <t xml:space="preserve">AFE completo consume &lt; 10 mA</t>
  </si>
  <si>
    <t xml:space="preserve">Entrada</t>
  </si>
  <si>
    <t xml:space="preserve">Hasta &gt;= 6 V; dropout &lt;= 0.3 V a 20 mA</t>
  </si>
  <si>
    <t xml:space="preserve">3 pilas AA = 4.5 V nueva, ~3.6 V gastada</t>
  </si>
  <si>
    <t xml:space="preserve">Estabilidad</t>
  </si>
  <si>
    <t xml:space="preserve">Estable con condensadores ceramicos</t>
  </si>
  <si>
    <t xml:space="preserve">MCP1700-3302E (TO-92), MCP1702-3302, LP2950-3.3, HT7333</t>
  </si>
  <si>
    <t xml:space="preserve">MCP1700: CLP 890 en hubot.cl</t>
  </si>
  <si>
    <t xml:space="preserve">AMS1117-3.3 (dropout ~1.1 V: usar 4 pilas AA)</t>
  </si>
  <si>
    <t xml:space="preserve">NO sirve</t>
  </si>
  <si>
    <t xml:space="preserve">El LDO de 3.0 V que ya tienes</t>
  </si>
  <si>
    <t xml:space="preserve">Donde buscar (datos revisados el 30-sep-2026)</t>
  </si>
  <si>
    <t xml:space="preserve">Ubicacion</t>
  </si>
  <si>
    <t xml:space="preserve">Modalidad</t>
  </si>
  <si>
    <t xml:space="preserve">Que tiene / buscar</t>
  </si>
  <si>
    <t xml:space="preserve">Web</t>
  </si>
  <si>
    <t xml:space="preserve">Katode</t>
  </si>
  <si>
    <t xml:space="preserve">San Martin 133 E, Santiago Centro</t>
  </si>
  <si>
    <t xml:space="preserve">Retiro el mismo dia, L-V 9:30-14:00</t>
  </si>
  <si>
    <t xml:space="preserve">Pasivos, zocalos, perfboard. Op-amps solo clasicos (TL07x, NE5532): NO sirven</t>
  </si>
  <si>
    <t xml:space="preserve">katode.cl</t>
  </si>
  <si>
    <t xml:space="preserve">Santiago</t>
  </si>
  <si>
    <t xml:space="preserve">Despacho el mismo dia si se pide antes de las 12:30</t>
  </si>
  <si>
    <t xml:space="preserve">MCP1700-3302E (CLP 890)</t>
  </si>
  <si>
    <t xml:space="preserve">hubot.cl</t>
  </si>
  <si>
    <t xml:space="preserve">MCI Electronics</t>
  </si>
  <si>
    <t xml:space="preserve">Retiro en tienda 8:30-17:30</t>
  </si>
  <si>
    <t xml:space="preserve">Kits de resistencias 1 %, modulos</t>
  </si>
  <si>
    <t xml:space="preserve">mcielectronics.cl</t>
  </si>
  <si>
    <t xml:space="preserve">Afel</t>
  </si>
  <si>
    <t xml:space="preserve">Tienda y web</t>
  </si>
  <si>
    <t xml:space="preserve">Pasivos y kits</t>
  </si>
  <si>
    <t xml:space="preserve">afel.cl</t>
  </si>
  <si>
    <t xml:space="preserve">MechatronicStore</t>
  </si>
  <si>
    <t xml:space="preserve">Curico</t>
  </si>
  <si>
    <t xml:space="preserve">Envio; gratis sobre CLP 19.990</t>
  </si>
  <si>
    <t xml:space="preserve">Modulo INA333 MCU-333 (CLP 6.790; RG es potenciometro), poliester</t>
  </si>
  <si>
    <t xml:space="preserve">mechatronicstore.cl</t>
  </si>
  <si>
    <t xml:space="preserve">Mercado Libre</t>
  </si>
  <si>
    <t xml:space="preserve">Filtrar "Llega hoy" y vendedores de Santiago</t>
  </si>
  <si>
    <t xml:space="preserve">AD623AN DIP-8 (2 u CLP 16.170), electrodos 3M 2228, cables con broche</t>
  </si>
  <si>
    <t xml:space="preserve">mercadolibre.cl</t>
  </si>
  <si>
    <t xml:space="preserve">RS Chile</t>
  </si>
  <si>
    <t xml:space="preserve">Web, plazos segun stock</t>
  </si>
  <si>
    <t xml:space="preserve">MCP6004-E/P CLP 809 c/IVA, minimo 30 u, sin stock al 30-sep</t>
  </si>
  <si>
    <t xml:space="preserve">cl.rsdelivers.com</t>
  </si>
  <si>
    <t xml:space="preserve">Klinetix</t>
  </si>
  <si>
    <t xml:space="preserve">Despacho 1-2 dias habiles en RM</t>
  </si>
  <si>
    <t xml:space="preserve">Electrodos 3M 2228 caja de 50 (agotado al 30-sep)</t>
  </si>
  <si>
    <t xml:space="preserve">klinetix.cl</t>
  </si>
  <si>
    <t xml:space="preserve">DigiKey / Mouser</t>
  </si>
  <si>
    <t xml:space="preserve">EE.UU.</t>
  </si>
  <si>
    <t xml:space="preserve">2-5 dias habiles, impuestos al recibir</t>
  </si>
  <si>
    <t xml:space="preserve">Cualquier IC de la lista SI sirven</t>
  </si>
  <si>
    <t xml:space="preserve">digikey.com / mouser.cl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</si>
</sst>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10" min="7" style="0" width="9"/>
    <col collapsed="false" customWidth="true" hidden="false" outlineLevel="0" max="11" min="11" style="0" width="10"/>
    <col collapsed="false" customWidth="true" hidden="false" outlineLevel="0" max="12" min="12" style="0" width="32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5" hidden="false" customHeight="false" outlineLevel="0" collapsed="false">
      <c r="A5" s="4" t="s">
        <v>19</v>
      </c>
      <c r="B5" s="4"/>
      <c r="C5" s="4" t="s">
        <v>20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15" hidden="false" customHeight="false" outlineLevel="0" collapsed="false">
      <c r="A6" s="5" t="s">
        <v>19</v>
      </c>
      <c r="B6" s="5" t="s">
        <v>21</v>
      </c>
      <c r="C6" s="5" t="s">
        <v>22</v>
      </c>
      <c r="D6" s="5" t="s">
        <v>23</v>
      </c>
      <c r="E6" s="5" t="s">
        <v>23</v>
      </c>
      <c r="F6" s="5" t="s">
        <v>24</v>
      </c>
      <c r="G6" s="5" t="n">
        <v>2</v>
      </c>
      <c r="H6" s="5" t="n">
        <v>4</v>
      </c>
      <c r="I6" s="5" t="n">
        <f aca="false">G6*H6</f>
        <v>8</v>
      </c>
      <c r="J6" s="5" t="n">
        <v>2</v>
      </c>
      <c r="K6" s="5" t="n">
        <f aca="false">I6+J6</f>
        <v>10</v>
      </c>
      <c r="L6" s="5" t="s">
        <v>25</v>
      </c>
      <c r="M6" s="6"/>
      <c r="N6" s="7"/>
      <c r="O6" s="8" t="str">
        <f aca="false">IF(N6="","",K6*N6)</f>
        <v/>
      </c>
      <c r="P6" s="6" t="s">
        <v>26</v>
      </c>
      <c r="Q6" s="5" t="s">
        <v>27</v>
      </c>
    </row>
    <row r="7" customFormat="false" ht="15" hidden="false" customHeight="false" outlineLevel="0" collapsed="false">
      <c r="A7" s="5" t="s">
        <v>19</v>
      </c>
      <c r="B7" s="5" t="s">
        <v>28</v>
      </c>
      <c r="C7" s="5" t="s">
        <v>29</v>
      </c>
      <c r="D7" s="5" t="s">
        <v>30</v>
      </c>
      <c r="E7" s="5" t="s">
        <v>30</v>
      </c>
      <c r="F7" s="5" t="s">
        <v>31</v>
      </c>
      <c r="G7" s="5" t="n">
        <v>4</v>
      </c>
      <c r="H7" s="5" t="n">
        <v>4</v>
      </c>
      <c r="I7" s="5" t="n">
        <f aca="false">G7*H7</f>
        <v>16</v>
      </c>
      <c r="J7" s="5" t="n">
        <v>4</v>
      </c>
      <c r="K7" s="5" t="n">
        <f aca="false">I7+J7</f>
        <v>20</v>
      </c>
      <c r="L7" s="5" t="s">
        <v>30</v>
      </c>
      <c r="M7" s="6"/>
      <c r="N7" s="7"/>
      <c r="O7" s="8" t="str">
        <f aca="false">IF(N7="","",K7*N7)</f>
        <v/>
      </c>
      <c r="P7" s="6" t="s">
        <v>26</v>
      </c>
      <c r="Q7" s="5" t="s">
        <v>32</v>
      </c>
    </row>
    <row r="8" customFormat="false" ht="15" hidden="false" customHeight="false" outlineLevel="0" collapsed="false">
      <c r="A8" s="4" t="s">
        <v>33</v>
      </c>
      <c r="B8" s="4"/>
      <c r="C8" s="4" t="s">
        <v>20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customFormat="false" ht="15" hidden="false" customHeight="false" outlineLevel="0" collapsed="false">
      <c r="A9" s="5" t="s">
        <v>33</v>
      </c>
      <c r="B9" s="5" t="s">
        <v>34</v>
      </c>
      <c r="C9" s="5" t="s">
        <v>35</v>
      </c>
      <c r="D9" s="5" t="s">
        <v>36</v>
      </c>
      <c r="E9" s="5" t="s">
        <v>36</v>
      </c>
      <c r="F9" s="5" t="s">
        <v>37</v>
      </c>
      <c r="G9" s="5" t="n">
        <v>2</v>
      </c>
      <c r="H9" s="5" t="n">
        <v>4</v>
      </c>
      <c r="I9" s="5" t="n">
        <f aca="false">G9*H9</f>
        <v>8</v>
      </c>
      <c r="J9" s="5" t="n">
        <v>2</v>
      </c>
      <c r="K9" s="5" t="n">
        <f aca="false">I9+J9</f>
        <v>10</v>
      </c>
      <c r="L9" s="5" t="s">
        <v>38</v>
      </c>
      <c r="M9" s="6"/>
      <c r="N9" s="7"/>
      <c r="O9" s="8" t="str">
        <f aca="false">IF(N9="","",K9*N9)</f>
        <v/>
      </c>
      <c r="P9" s="6" t="s">
        <v>26</v>
      </c>
      <c r="Q9" s="5"/>
    </row>
    <row r="10" customFormat="false" ht="15" hidden="false" customHeight="false" outlineLevel="0" collapsed="false">
      <c r="A10" s="5" t="s">
        <v>33</v>
      </c>
      <c r="B10" s="5" t="s">
        <v>39</v>
      </c>
      <c r="C10" s="5" t="s">
        <v>40</v>
      </c>
      <c r="D10" s="5" t="s">
        <v>41</v>
      </c>
      <c r="E10" s="5" t="s">
        <v>41</v>
      </c>
      <c r="F10" s="5" t="s">
        <v>42</v>
      </c>
      <c r="G10" s="5" t="n">
        <v>2</v>
      </c>
      <c r="H10" s="5" t="n">
        <v>4</v>
      </c>
      <c r="I10" s="5" t="n">
        <f aca="false">G10*H10</f>
        <v>8</v>
      </c>
      <c r="J10" s="5" t="n">
        <v>2</v>
      </c>
      <c r="K10" s="5" t="n">
        <f aca="false">I10+J10</f>
        <v>10</v>
      </c>
      <c r="L10" s="5" t="s">
        <v>43</v>
      </c>
      <c r="M10" s="6"/>
      <c r="N10" s="7"/>
      <c r="O10" s="8" t="str">
        <f aca="false">IF(N10="","",K10*N10)</f>
        <v/>
      </c>
      <c r="P10" s="6" t="s">
        <v>26</v>
      </c>
      <c r="Q10" s="5" t="s">
        <v>44</v>
      </c>
    </row>
    <row r="11" customFormat="false" ht="15" hidden="false" customHeight="false" outlineLevel="0" collapsed="false">
      <c r="A11" s="5" t="s">
        <v>33</v>
      </c>
      <c r="B11" s="5" t="s">
        <v>45</v>
      </c>
      <c r="C11" s="5" t="s">
        <v>46</v>
      </c>
      <c r="D11" s="5" t="s">
        <v>47</v>
      </c>
      <c r="E11" s="5" t="s">
        <v>47</v>
      </c>
      <c r="F11" s="5" t="s">
        <v>42</v>
      </c>
      <c r="G11" s="5" t="n">
        <v>1</v>
      </c>
      <c r="H11" s="5" t="n">
        <v>4</v>
      </c>
      <c r="I11" s="5" t="n">
        <f aca="false">G11*H11</f>
        <v>4</v>
      </c>
      <c r="J11" s="5" t="n">
        <v>1</v>
      </c>
      <c r="K11" s="5" t="n">
        <f aca="false">I11+J11</f>
        <v>5</v>
      </c>
      <c r="L11" s="5" t="s">
        <v>48</v>
      </c>
      <c r="M11" s="6"/>
      <c r="N11" s="7"/>
      <c r="O11" s="8" t="str">
        <f aca="false">IF(N11="","",K11*N11)</f>
        <v/>
      </c>
      <c r="P11" s="6" t="s">
        <v>26</v>
      </c>
      <c r="Q11" s="5"/>
    </row>
    <row r="12" customFormat="false" ht="15" hidden="false" customHeight="false" outlineLevel="0" collapsed="false">
      <c r="A12" s="4" t="s">
        <v>49</v>
      </c>
      <c r="B12" s="4"/>
      <c r="C12" s="4" t="s">
        <v>20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customFormat="false" ht="26.85" hidden="false" customHeight="false" outlineLevel="0" collapsed="false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53</v>
      </c>
      <c r="F13" s="5" t="s">
        <v>54</v>
      </c>
      <c r="G13" s="5" t="n">
        <v>1</v>
      </c>
      <c r="H13" s="5" t="n">
        <v>4</v>
      </c>
      <c r="I13" s="5" t="n">
        <f aca="false">G13*H13</f>
        <v>4</v>
      </c>
      <c r="J13" s="5" t="n">
        <v>1</v>
      </c>
      <c r="K13" s="5" t="n">
        <f aca="false">I13+J13</f>
        <v>5</v>
      </c>
      <c r="L13" s="5" t="s">
        <v>55</v>
      </c>
      <c r="M13" s="6"/>
      <c r="N13" s="7"/>
      <c r="O13" s="8" t="str">
        <f aca="false">IF(N13="","",K13*N13)</f>
        <v/>
      </c>
      <c r="P13" s="6" t="s">
        <v>26</v>
      </c>
      <c r="Q13" s="5" t="s">
        <v>56</v>
      </c>
    </row>
    <row r="14" customFormat="false" ht="26.85" hidden="false" customHeight="false" outlineLevel="0" collapsed="false">
      <c r="A14" s="5" t="s">
        <v>49</v>
      </c>
      <c r="B14" s="5" t="s">
        <v>57</v>
      </c>
      <c r="C14" s="5" t="s">
        <v>58</v>
      </c>
      <c r="D14" s="5" t="s">
        <v>59</v>
      </c>
      <c r="E14" s="5" t="s">
        <v>60</v>
      </c>
      <c r="F14" s="5" t="s">
        <v>61</v>
      </c>
      <c r="G14" s="5" t="n">
        <v>2</v>
      </c>
      <c r="H14" s="5" t="n">
        <v>4</v>
      </c>
      <c r="I14" s="5" t="n">
        <f aca="false">G14*H14</f>
        <v>8</v>
      </c>
      <c r="J14" s="5" t="n">
        <v>4</v>
      </c>
      <c r="K14" s="5" t="n">
        <f aca="false">I14+J14</f>
        <v>12</v>
      </c>
      <c r="L14" s="5" t="s">
        <v>62</v>
      </c>
      <c r="M14" s="6"/>
      <c r="N14" s="7"/>
      <c r="O14" s="8" t="str">
        <f aca="false">IF(N14="","",K14*N14)</f>
        <v/>
      </c>
      <c r="P14" s="6" t="s">
        <v>26</v>
      </c>
      <c r="Q14" s="5" t="s">
        <v>63</v>
      </c>
    </row>
    <row r="15" customFormat="false" ht="26.85" hidden="false" customHeight="false" outlineLevel="0" collapsed="false">
      <c r="A15" s="5" t="s">
        <v>49</v>
      </c>
      <c r="B15" s="5" t="s">
        <v>64</v>
      </c>
      <c r="C15" s="5" t="s">
        <v>65</v>
      </c>
      <c r="D15" s="5" t="s">
        <v>66</v>
      </c>
      <c r="E15" s="5" t="s">
        <v>66</v>
      </c>
      <c r="F15" s="5" t="s">
        <v>67</v>
      </c>
      <c r="G15" s="5" t="n">
        <v>1</v>
      </c>
      <c r="H15" s="5" t="n">
        <v>4</v>
      </c>
      <c r="I15" s="5" t="n">
        <f aca="false">G15*H15</f>
        <v>4</v>
      </c>
      <c r="J15" s="5" t="n">
        <v>1</v>
      </c>
      <c r="K15" s="5" t="n">
        <f aca="false">I15+J15</f>
        <v>5</v>
      </c>
      <c r="L15" s="5" t="s">
        <v>68</v>
      </c>
      <c r="M15" s="6"/>
      <c r="N15" s="7"/>
      <c r="O15" s="8" t="str">
        <f aca="false">IF(N15="","",K15*N15)</f>
        <v/>
      </c>
      <c r="P15" s="6" t="s">
        <v>26</v>
      </c>
      <c r="Q15" s="5" t="s">
        <v>69</v>
      </c>
    </row>
    <row r="16" customFormat="false" ht="15" hidden="false" customHeight="false" outlineLevel="0" collapsed="false">
      <c r="A16" s="4" t="s">
        <v>70</v>
      </c>
      <c r="B16" s="4"/>
      <c r="C16" s="4" t="s">
        <v>20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customFormat="false" ht="15" hidden="false" customHeight="false" outlineLevel="0" collapsed="false">
      <c r="A17" s="5" t="s">
        <v>70</v>
      </c>
      <c r="B17" s="5" t="s">
        <v>71</v>
      </c>
      <c r="C17" s="5" t="s">
        <v>72</v>
      </c>
      <c r="D17" s="5" t="s">
        <v>66</v>
      </c>
      <c r="E17" s="5" t="s">
        <v>66</v>
      </c>
      <c r="F17" s="5" t="s">
        <v>73</v>
      </c>
      <c r="G17" s="5" t="n">
        <v>2</v>
      </c>
      <c r="H17" s="5" t="n">
        <v>4</v>
      </c>
      <c r="I17" s="5" t="n">
        <f aca="false">G17*H17</f>
        <v>8</v>
      </c>
      <c r="J17" s="5" t="n">
        <v>2</v>
      </c>
      <c r="K17" s="5" t="n">
        <f aca="false">I17+J17</f>
        <v>10</v>
      </c>
      <c r="L17" s="5" t="s">
        <v>74</v>
      </c>
      <c r="M17" s="6"/>
      <c r="N17" s="7"/>
      <c r="O17" s="8" t="str">
        <f aca="false">IF(N17="","",K17*N17)</f>
        <v/>
      </c>
      <c r="P17" s="6" t="s">
        <v>26</v>
      </c>
      <c r="Q17" s="5" t="s">
        <v>75</v>
      </c>
    </row>
    <row r="18" customFormat="false" ht="15" hidden="false" customHeight="false" outlineLevel="0" collapsed="false">
      <c r="A18" s="5" t="s">
        <v>70</v>
      </c>
      <c r="B18" s="5" t="s">
        <v>76</v>
      </c>
      <c r="C18" s="5" t="s">
        <v>77</v>
      </c>
      <c r="D18" s="5" t="s">
        <v>78</v>
      </c>
      <c r="E18" s="5" t="s">
        <v>79</v>
      </c>
      <c r="F18" s="5" t="s">
        <v>37</v>
      </c>
      <c r="G18" s="5" t="n">
        <v>1</v>
      </c>
      <c r="H18" s="5" t="n">
        <v>4</v>
      </c>
      <c r="I18" s="5" t="n">
        <f aca="false">G18*H18</f>
        <v>4</v>
      </c>
      <c r="J18" s="5" t="n">
        <v>1</v>
      </c>
      <c r="K18" s="5" t="n">
        <f aca="false">I18+J18</f>
        <v>5</v>
      </c>
      <c r="L18" s="5" t="s">
        <v>80</v>
      </c>
      <c r="M18" s="6"/>
      <c r="N18" s="7"/>
      <c r="O18" s="8" t="str">
        <f aca="false">IF(N18="","",K18*N18)</f>
        <v/>
      </c>
      <c r="P18" s="6" t="s">
        <v>26</v>
      </c>
      <c r="Q18" s="5" t="s">
        <v>81</v>
      </c>
    </row>
    <row r="19" customFormat="false" ht="15" hidden="false" customHeight="false" outlineLevel="0" collapsed="false">
      <c r="A19" s="5" t="s">
        <v>70</v>
      </c>
      <c r="B19" s="5" t="s">
        <v>82</v>
      </c>
      <c r="C19" s="5" t="s">
        <v>83</v>
      </c>
      <c r="D19" s="5" t="s">
        <v>84</v>
      </c>
      <c r="E19" s="5" t="s">
        <v>85</v>
      </c>
      <c r="F19" s="5" t="s">
        <v>37</v>
      </c>
      <c r="G19" s="5" t="n">
        <v>1</v>
      </c>
      <c r="H19" s="5" t="n">
        <v>4</v>
      </c>
      <c r="I19" s="5" t="n">
        <f aca="false">G19*H19</f>
        <v>4</v>
      </c>
      <c r="J19" s="5" t="n">
        <v>1</v>
      </c>
      <c r="K19" s="5" t="n">
        <f aca="false">I19+J19</f>
        <v>5</v>
      </c>
      <c r="L19" s="5" t="s">
        <v>86</v>
      </c>
      <c r="M19" s="6"/>
      <c r="N19" s="7"/>
      <c r="O19" s="8" t="str">
        <f aca="false">IF(N19="","",K19*N19)</f>
        <v/>
      </c>
      <c r="P19" s="6" t="s">
        <v>26</v>
      </c>
      <c r="Q19" s="5"/>
    </row>
    <row r="20" customFormat="false" ht="15" hidden="false" customHeight="false" outlineLevel="0" collapsed="false">
      <c r="A20" s="5" t="s">
        <v>70</v>
      </c>
      <c r="B20" s="5" t="s">
        <v>87</v>
      </c>
      <c r="C20" s="5" t="s">
        <v>88</v>
      </c>
      <c r="D20" s="5" t="s">
        <v>89</v>
      </c>
      <c r="E20" s="5" t="s">
        <v>89</v>
      </c>
      <c r="F20" s="5" t="s">
        <v>89</v>
      </c>
      <c r="G20" s="5"/>
      <c r="H20" s="5"/>
      <c r="I20" s="5"/>
      <c r="J20" s="5"/>
      <c r="K20" s="5"/>
      <c r="L20" s="5"/>
      <c r="M20" s="5"/>
      <c r="N20" s="8"/>
      <c r="O20" s="8"/>
      <c r="P20" s="5"/>
      <c r="Q20" s="5" t="s">
        <v>90</v>
      </c>
    </row>
    <row r="21" customFormat="false" ht="15" hidden="false" customHeight="false" outlineLevel="0" collapsed="false">
      <c r="A21" s="4" t="s">
        <v>91</v>
      </c>
      <c r="B21" s="4"/>
      <c r="C21" s="4" t="s">
        <v>20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customFormat="false" ht="15" hidden="false" customHeight="false" outlineLevel="0" collapsed="false">
      <c r="A22" s="5" t="s">
        <v>91</v>
      </c>
      <c r="B22" s="5" t="s">
        <v>92</v>
      </c>
      <c r="C22" s="5" t="s">
        <v>77</v>
      </c>
      <c r="D22" s="5" t="s">
        <v>93</v>
      </c>
      <c r="E22" s="5" t="s">
        <v>93</v>
      </c>
      <c r="F22" s="5" t="s">
        <v>37</v>
      </c>
      <c r="G22" s="5" t="n">
        <v>1</v>
      </c>
      <c r="H22" s="5" t="n">
        <v>4</v>
      </c>
      <c r="I22" s="5" t="n">
        <f aca="false">G22*H22</f>
        <v>4</v>
      </c>
      <c r="J22" s="5" t="n">
        <v>1</v>
      </c>
      <c r="K22" s="5" t="n">
        <f aca="false">I22+J22</f>
        <v>5</v>
      </c>
      <c r="L22" s="5" t="s">
        <v>94</v>
      </c>
      <c r="M22" s="6"/>
      <c r="N22" s="7"/>
      <c r="O22" s="8" t="str">
        <f aca="false">IF(N22="","",K22*N22)</f>
        <v/>
      </c>
      <c r="P22" s="6" t="s">
        <v>26</v>
      </c>
      <c r="Q22" s="5"/>
    </row>
    <row r="23" customFormat="false" ht="15" hidden="false" customHeight="false" outlineLevel="0" collapsed="false">
      <c r="A23" s="5" t="s">
        <v>91</v>
      </c>
      <c r="B23" s="5" t="s">
        <v>95</v>
      </c>
      <c r="C23" s="5" t="s">
        <v>96</v>
      </c>
      <c r="D23" s="5" t="s">
        <v>97</v>
      </c>
      <c r="E23" s="5" t="s">
        <v>97</v>
      </c>
      <c r="F23" s="5" t="s">
        <v>37</v>
      </c>
      <c r="G23" s="5" t="n">
        <v>1</v>
      </c>
      <c r="H23" s="5" t="n">
        <v>4</v>
      </c>
      <c r="I23" s="5" t="n">
        <f aca="false">G23*H23</f>
        <v>4</v>
      </c>
      <c r="J23" s="5" t="n">
        <v>1</v>
      </c>
      <c r="K23" s="5" t="n">
        <f aca="false">I23+J23</f>
        <v>5</v>
      </c>
      <c r="L23" s="5" t="s">
        <v>98</v>
      </c>
      <c r="M23" s="6"/>
      <c r="N23" s="7"/>
      <c r="O23" s="8" t="str">
        <f aca="false">IF(N23="","",K23*N23)</f>
        <v/>
      </c>
      <c r="P23" s="6" t="s">
        <v>26</v>
      </c>
      <c r="Q23" s="5"/>
    </row>
    <row r="24" customFormat="false" ht="26.85" hidden="false" customHeight="false" outlineLevel="0" collapsed="false">
      <c r="A24" s="5" t="s">
        <v>91</v>
      </c>
      <c r="B24" s="5" t="s">
        <v>99</v>
      </c>
      <c r="C24" s="5" t="s">
        <v>100</v>
      </c>
      <c r="D24" s="5" t="s">
        <v>101</v>
      </c>
      <c r="E24" s="5" t="s">
        <v>101</v>
      </c>
      <c r="F24" s="5" t="s">
        <v>102</v>
      </c>
      <c r="G24" s="5" t="n">
        <v>1</v>
      </c>
      <c r="H24" s="5" t="n">
        <v>4</v>
      </c>
      <c r="I24" s="5" t="n">
        <f aca="false">G24*H24</f>
        <v>4</v>
      </c>
      <c r="J24" s="5" t="n">
        <v>1</v>
      </c>
      <c r="K24" s="5" t="n">
        <f aca="false">I24+J24</f>
        <v>5</v>
      </c>
      <c r="L24" s="5" t="s">
        <v>103</v>
      </c>
      <c r="M24" s="6"/>
      <c r="N24" s="7"/>
      <c r="O24" s="8" t="str">
        <f aca="false">IF(N24="","",K24*N24)</f>
        <v/>
      </c>
      <c r="P24" s="6" t="s">
        <v>26</v>
      </c>
      <c r="Q24" s="5"/>
    </row>
    <row r="25" customFormat="false" ht="15" hidden="false" customHeight="false" outlineLevel="0" collapsed="false">
      <c r="A25" s="5" t="s">
        <v>91</v>
      </c>
      <c r="B25" s="5" t="s">
        <v>104</v>
      </c>
      <c r="C25" s="5" t="s">
        <v>88</v>
      </c>
      <c r="D25" s="5" t="s">
        <v>89</v>
      </c>
      <c r="E25" s="5" t="s">
        <v>89</v>
      </c>
      <c r="F25" s="5" t="s">
        <v>89</v>
      </c>
      <c r="G25" s="5"/>
      <c r="H25" s="5"/>
      <c r="I25" s="5"/>
      <c r="J25" s="5"/>
      <c r="K25" s="5"/>
      <c r="L25" s="5"/>
      <c r="M25" s="5"/>
      <c r="N25" s="8"/>
      <c r="O25" s="8"/>
      <c r="P25" s="5"/>
      <c r="Q25" s="5" t="s">
        <v>90</v>
      </c>
    </row>
    <row r="26" customFormat="false" ht="15" hidden="false" customHeight="false" outlineLevel="0" collapsed="false">
      <c r="A26" s="4" t="s">
        <v>105</v>
      </c>
      <c r="B26" s="4"/>
      <c r="C26" s="4" t="s">
        <v>20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customFormat="false" ht="15" hidden="false" customHeight="false" outlineLevel="0" collapsed="false">
      <c r="A27" s="5" t="s">
        <v>105</v>
      </c>
      <c r="B27" s="5" t="s">
        <v>106</v>
      </c>
      <c r="C27" s="5" t="s">
        <v>107</v>
      </c>
      <c r="D27" s="5" t="s">
        <v>108</v>
      </c>
      <c r="E27" s="5" t="s">
        <v>109</v>
      </c>
      <c r="F27" s="5" t="s">
        <v>37</v>
      </c>
      <c r="G27" s="5" t="n">
        <v>2</v>
      </c>
      <c r="H27" s="5" t="n">
        <v>4</v>
      </c>
      <c r="I27" s="5" t="n">
        <f aca="false">G27*H27</f>
        <v>8</v>
      </c>
      <c r="J27" s="5" t="n">
        <v>2</v>
      </c>
      <c r="K27" s="5" t="n">
        <f aca="false">I27+J27</f>
        <v>10</v>
      </c>
      <c r="L27" s="5" t="s">
        <v>110</v>
      </c>
      <c r="M27" s="6"/>
      <c r="N27" s="7"/>
      <c r="O27" s="8" t="str">
        <f aca="false">IF(N27="","",K27*N27)</f>
        <v/>
      </c>
      <c r="P27" s="6" t="s">
        <v>26</v>
      </c>
      <c r="Q27" s="5" t="s">
        <v>111</v>
      </c>
    </row>
    <row r="28" customFormat="false" ht="15" hidden="false" customHeight="false" outlineLevel="0" collapsed="false">
      <c r="A28" s="5" t="s">
        <v>105</v>
      </c>
      <c r="B28" s="5" t="s">
        <v>112</v>
      </c>
      <c r="C28" s="5" t="s">
        <v>113</v>
      </c>
      <c r="D28" s="5" t="s">
        <v>114</v>
      </c>
      <c r="E28" s="5" t="s">
        <v>114</v>
      </c>
      <c r="F28" s="5" t="s">
        <v>115</v>
      </c>
      <c r="G28" s="5" t="n">
        <v>1</v>
      </c>
      <c r="H28" s="5" t="n">
        <v>4</v>
      </c>
      <c r="I28" s="5" t="n">
        <f aca="false">G28*H28</f>
        <v>4</v>
      </c>
      <c r="J28" s="5" t="n">
        <v>1</v>
      </c>
      <c r="K28" s="5" t="n">
        <f aca="false">I28+J28</f>
        <v>5</v>
      </c>
      <c r="L28" s="5" t="s">
        <v>116</v>
      </c>
      <c r="M28" s="6"/>
      <c r="N28" s="7"/>
      <c r="O28" s="8" t="str">
        <f aca="false">IF(N28="","",K28*N28)</f>
        <v/>
      </c>
      <c r="P28" s="6" t="s">
        <v>26</v>
      </c>
      <c r="Q28" s="5"/>
    </row>
    <row r="29" customFormat="false" ht="15" hidden="false" customHeight="false" outlineLevel="0" collapsed="false">
      <c r="A29" s="5" t="s">
        <v>105</v>
      </c>
      <c r="B29" s="5" t="s">
        <v>117</v>
      </c>
      <c r="C29" s="5" t="s">
        <v>118</v>
      </c>
      <c r="D29" s="5" t="s">
        <v>119</v>
      </c>
      <c r="E29" s="5" t="s">
        <v>119</v>
      </c>
      <c r="F29" s="5" t="s">
        <v>115</v>
      </c>
      <c r="G29" s="5" t="n">
        <v>1</v>
      </c>
      <c r="H29" s="5" t="n">
        <v>4</v>
      </c>
      <c r="I29" s="5" t="n">
        <f aca="false">G29*H29</f>
        <v>4</v>
      </c>
      <c r="J29" s="5" t="n">
        <v>1</v>
      </c>
      <c r="K29" s="5" t="n">
        <f aca="false">I29+J29</f>
        <v>5</v>
      </c>
      <c r="L29" s="5" t="s">
        <v>120</v>
      </c>
      <c r="M29" s="6"/>
      <c r="N29" s="7"/>
      <c r="O29" s="8" t="str">
        <f aca="false">IF(N29="","",K29*N29)</f>
        <v/>
      </c>
      <c r="P29" s="6" t="s">
        <v>26</v>
      </c>
      <c r="Q29" s="5"/>
    </row>
    <row r="30" customFormat="false" ht="15" hidden="false" customHeight="false" outlineLevel="0" collapsed="false">
      <c r="A30" s="5" t="s">
        <v>105</v>
      </c>
      <c r="B30" s="5" t="s">
        <v>121</v>
      </c>
      <c r="C30" s="5" t="s">
        <v>88</v>
      </c>
      <c r="D30" s="5" t="s">
        <v>89</v>
      </c>
      <c r="E30" s="5" t="s">
        <v>89</v>
      </c>
      <c r="F30" s="5" t="s">
        <v>89</v>
      </c>
      <c r="G30" s="5"/>
      <c r="H30" s="5"/>
      <c r="I30" s="5"/>
      <c r="J30" s="5"/>
      <c r="K30" s="5"/>
      <c r="L30" s="5"/>
      <c r="M30" s="5"/>
      <c r="N30" s="8"/>
      <c r="O30" s="8"/>
      <c r="P30" s="5"/>
      <c r="Q30" s="5" t="s">
        <v>90</v>
      </c>
    </row>
    <row r="31" customFormat="false" ht="15" hidden="false" customHeight="false" outlineLevel="0" collapsed="false">
      <c r="A31" s="4" t="s">
        <v>122</v>
      </c>
      <c r="B31" s="4"/>
      <c r="C31" s="4" t="s">
        <v>20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customFormat="false" ht="15" hidden="false" customHeight="false" outlineLevel="0" collapsed="false">
      <c r="A32" s="5" t="s">
        <v>122</v>
      </c>
      <c r="B32" s="5" t="s">
        <v>123</v>
      </c>
      <c r="C32" s="5" t="s">
        <v>124</v>
      </c>
      <c r="D32" s="5" t="s">
        <v>125</v>
      </c>
      <c r="E32" s="5" t="s">
        <v>79</v>
      </c>
      <c r="F32" s="5" t="s">
        <v>37</v>
      </c>
      <c r="G32" s="5" t="n">
        <v>2</v>
      </c>
      <c r="H32" s="5" t="n">
        <v>4</v>
      </c>
      <c r="I32" s="5" t="n">
        <f aca="false">G32*H32</f>
        <v>8</v>
      </c>
      <c r="J32" s="5" t="n">
        <v>2</v>
      </c>
      <c r="K32" s="5" t="n">
        <f aca="false">I32+J32</f>
        <v>10</v>
      </c>
      <c r="L32" s="5" t="s">
        <v>80</v>
      </c>
      <c r="M32" s="6"/>
      <c r="N32" s="7"/>
      <c r="O32" s="8" t="str">
        <f aca="false">IF(N32="","",K32*N32)</f>
        <v/>
      </c>
      <c r="P32" s="6" t="s">
        <v>26</v>
      </c>
      <c r="Q32" s="5" t="s">
        <v>126</v>
      </c>
    </row>
    <row r="33" customFormat="false" ht="15" hidden="false" customHeight="false" outlineLevel="0" collapsed="false">
      <c r="A33" s="5" t="s">
        <v>122</v>
      </c>
      <c r="B33" s="5" t="s">
        <v>127</v>
      </c>
      <c r="C33" s="5" t="s">
        <v>113</v>
      </c>
      <c r="D33" s="5" t="s">
        <v>128</v>
      </c>
      <c r="E33" s="5" t="s">
        <v>128</v>
      </c>
      <c r="F33" s="5" t="s">
        <v>115</v>
      </c>
      <c r="G33" s="5" t="n">
        <v>1</v>
      </c>
      <c r="H33" s="5" t="n">
        <v>4</v>
      </c>
      <c r="I33" s="5" t="n">
        <f aca="false">G33*H33</f>
        <v>4</v>
      </c>
      <c r="J33" s="5" t="n">
        <v>1</v>
      </c>
      <c r="K33" s="5" t="n">
        <f aca="false">I33+J33</f>
        <v>5</v>
      </c>
      <c r="L33" s="5" t="s">
        <v>129</v>
      </c>
      <c r="M33" s="6"/>
      <c r="N33" s="7"/>
      <c r="O33" s="8" t="str">
        <f aca="false">IF(N33="","",K33*N33)</f>
        <v/>
      </c>
      <c r="P33" s="6" t="s">
        <v>26</v>
      </c>
      <c r="Q33" s="5"/>
    </row>
    <row r="34" customFormat="false" ht="15" hidden="false" customHeight="false" outlineLevel="0" collapsed="false">
      <c r="A34" s="5" t="s">
        <v>122</v>
      </c>
      <c r="B34" s="5" t="s">
        <v>130</v>
      </c>
      <c r="C34" s="5" t="s">
        <v>118</v>
      </c>
      <c r="D34" s="5" t="s">
        <v>131</v>
      </c>
      <c r="E34" s="5" t="s">
        <v>131</v>
      </c>
      <c r="F34" s="5" t="s">
        <v>115</v>
      </c>
      <c r="G34" s="5" t="n">
        <v>1</v>
      </c>
      <c r="H34" s="5" t="n">
        <v>4</v>
      </c>
      <c r="I34" s="5" t="n">
        <f aca="false">G34*H34</f>
        <v>4</v>
      </c>
      <c r="J34" s="5" t="n">
        <v>1</v>
      </c>
      <c r="K34" s="5" t="n">
        <f aca="false">I34+J34</f>
        <v>5</v>
      </c>
      <c r="L34" s="5" t="s">
        <v>132</v>
      </c>
      <c r="M34" s="6"/>
      <c r="N34" s="7"/>
      <c r="O34" s="8" t="str">
        <f aca="false">IF(N34="","",K34*N34)</f>
        <v/>
      </c>
      <c r="P34" s="6" t="s">
        <v>26</v>
      </c>
      <c r="Q34" s="5"/>
    </row>
    <row r="35" customFormat="false" ht="15" hidden="false" customHeight="false" outlineLevel="0" collapsed="false">
      <c r="A35" s="5" t="s">
        <v>122</v>
      </c>
      <c r="B35" s="5" t="s">
        <v>133</v>
      </c>
      <c r="C35" s="5" t="s">
        <v>88</v>
      </c>
      <c r="D35" s="5" t="s">
        <v>89</v>
      </c>
      <c r="E35" s="5" t="s">
        <v>89</v>
      </c>
      <c r="F35" s="5" t="s">
        <v>89</v>
      </c>
      <c r="G35" s="5"/>
      <c r="H35" s="5"/>
      <c r="I35" s="5"/>
      <c r="J35" s="5"/>
      <c r="K35" s="5"/>
      <c r="L35" s="5"/>
      <c r="M35" s="5"/>
      <c r="N35" s="8"/>
      <c r="O35" s="8"/>
      <c r="P35" s="5"/>
      <c r="Q35" s="5" t="s">
        <v>90</v>
      </c>
    </row>
    <row r="36" customFormat="false" ht="15" hidden="false" customHeight="false" outlineLevel="0" collapsed="false">
      <c r="A36" s="4" t="s">
        <v>134</v>
      </c>
      <c r="B36" s="4"/>
      <c r="C36" s="4" t="s">
        <v>20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customFormat="false" ht="15" hidden="false" customHeight="false" outlineLevel="0" collapsed="false">
      <c r="A37" s="5" t="s">
        <v>134</v>
      </c>
      <c r="B37" s="5" t="s">
        <v>135</v>
      </c>
      <c r="C37" s="5" t="s">
        <v>136</v>
      </c>
      <c r="D37" s="5" t="s">
        <v>137</v>
      </c>
      <c r="E37" s="5" t="s">
        <v>137</v>
      </c>
      <c r="F37" s="5" t="s">
        <v>37</v>
      </c>
      <c r="G37" s="5" t="n">
        <v>1</v>
      </c>
      <c r="H37" s="5" t="n">
        <v>4</v>
      </c>
      <c r="I37" s="5" t="n">
        <f aca="false">G37*H37</f>
        <v>4</v>
      </c>
      <c r="J37" s="5" t="n">
        <v>1</v>
      </c>
      <c r="K37" s="5" t="n">
        <f aca="false">I37+J37</f>
        <v>5</v>
      </c>
      <c r="L37" s="5" t="s">
        <v>138</v>
      </c>
      <c r="M37" s="6"/>
      <c r="N37" s="7"/>
      <c r="O37" s="8" t="str">
        <f aca="false">IF(N37="","",K37*N37)</f>
        <v/>
      </c>
      <c r="P37" s="6" t="s">
        <v>26</v>
      </c>
      <c r="Q37" s="5"/>
    </row>
    <row r="38" customFormat="false" ht="15" hidden="false" customHeight="false" outlineLevel="0" collapsed="false">
      <c r="A38" s="5" t="s">
        <v>134</v>
      </c>
      <c r="B38" s="5" t="s">
        <v>139</v>
      </c>
      <c r="C38" s="5" t="s">
        <v>140</v>
      </c>
      <c r="D38" s="5" t="s">
        <v>141</v>
      </c>
      <c r="E38" s="5" t="s">
        <v>141</v>
      </c>
      <c r="F38" s="5" t="s">
        <v>142</v>
      </c>
      <c r="G38" s="5" t="n">
        <v>1</v>
      </c>
      <c r="H38" s="5" t="n">
        <v>4</v>
      </c>
      <c r="I38" s="5" t="n">
        <f aca="false">G38*H38</f>
        <v>4</v>
      </c>
      <c r="J38" s="5" t="n">
        <v>1</v>
      </c>
      <c r="K38" s="5" t="n">
        <f aca="false">I38+J38</f>
        <v>5</v>
      </c>
      <c r="L38" s="5" t="s">
        <v>143</v>
      </c>
      <c r="M38" s="6"/>
      <c r="N38" s="7"/>
      <c r="O38" s="8" t="str">
        <f aca="false">IF(N38="","",K38*N38)</f>
        <v/>
      </c>
      <c r="P38" s="6" t="s">
        <v>26</v>
      </c>
      <c r="Q38" s="5"/>
    </row>
    <row r="39" customFormat="false" ht="26.85" hidden="false" customHeight="false" outlineLevel="0" collapsed="false">
      <c r="A39" s="5" t="s">
        <v>134</v>
      </c>
      <c r="B39" s="5" t="s">
        <v>144</v>
      </c>
      <c r="C39" s="5" t="s">
        <v>145</v>
      </c>
      <c r="D39" s="5" t="s">
        <v>89</v>
      </c>
      <c r="E39" s="5" t="s">
        <v>146</v>
      </c>
      <c r="F39" s="5" t="s">
        <v>89</v>
      </c>
      <c r="G39" s="5" t="n">
        <v>1</v>
      </c>
      <c r="H39" s="5" t="n">
        <v>4</v>
      </c>
      <c r="I39" s="5" t="n">
        <f aca="false">G39*H39</f>
        <v>4</v>
      </c>
      <c r="J39" s="5" t="n">
        <v>2</v>
      </c>
      <c r="K39" s="5" t="n">
        <f aca="false">I39+J39</f>
        <v>6</v>
      </c>
      <c r="L39" s="5" t="s">
        <v>147</v>
      </c>
      <c r="M39" s="6"/>
      <c r="N39" s="7"/>
      <c r="O39" s="8" t="str">
        <f aca="false">IF(N39="","",K39*N39)</f>
        <v/>
      </c>
      <c r="P39" s="6" t="s">
        <v>26</v>
      </c>
      <c r="Q39" s="5" t="s">
        <v>148</v>
      </c>
    </row>
    <row r="40" customFormat="false" ht="15" hidden="false" customHeight="false" outlineLevel="0" collapsed="false">
      <c r="A40" s="5" t="s">
        <v>134</v>
      </c>
      <c r="B40" s="5" t="s">
        <v>149</v>
      </c>
      <c r="C40" s="5" t="s">
        <v>88</v>
      </c>
      <c r="D40" s="5" t="s">
        <v>89</v>
      </c>
      <c r="E40" s="5" t="s">
        <v>89</v>
      </c>
      <c r="F40" s="5" t="s">
        <v>89</v>
      </c>
      <c r="G40" s="5"/>
      <c r="H40" s="5"/>
      <c r="I40" s="5"/>
      <c r="J40" s="5"/>
      <c r="K40" s="5"/>
      <c r="L40" s="5"/>
      <c r="M40" s="5"/>
      <c r="N40" s="8"/>
      <c r="O40" s="8"/>
      <c r="P40" s="5"/>
      <c r="Q40" s="5" t="s">
        <v>90</v>
      </c>
    </row>
    <row r="41" customFormat="false" ht="15" hidden="false" customHeight="false" outlineLevel="0" collapsed="false">
      <c r="A41" s="4" t="s">
        <v>150</v>
      </c>
      <c r="B41" s="4"/>
      <c r="C41" s="4" t="s">
        <v>151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customFormat="false" ht="15" hidden="false" customHeight="false" outlineLevel="0" collapsed="false">
      <c r="A42" s="5" t="s">
        <v>150</v>
      </c>
      <c r="B42" s="5" t="s">
        <v>152</v>
      </c>
      <c r="C42" s="5" t="s">
        <v>153</v>
      </c>
      <c r="D42" s="5" t="s">
        <v>23</v>
      </c>
      <c r="E42" s="5" t="s">
        <v>23</v>
      </c>
      <c r="F42" s="5" t="s">
        <v>37</v>
      </c>
      <c r="G42" s="5" t="n">
        <v>2</v>
      </c>
      <c r="H42" s="5" t="n">
        <v>1</v>
      </c>
      <c r="I42" s="5" t="n">
        <f aca="false">G42*H42</f>
        <v>2</v>
      </c>
      <c r="J42" s="5" t="n">
        <v>0</v>
      </c>
      <c r="K42" s="5" t="n">
        <f aca="false">I42+J42</f>
        <v>2</v>
      </c>
      <c r="L42" s="5" t="s">
        <v>154</v>
      </c>
      <c r="M42" s="6"/>
      <c r="N42" s="7"/>
      <c r="O42" s="8" t="str">
        <f aca="false">IF(N42="","",K42*N42)</f>
        <v/>
      </c>
      <c r="P42" s="6" t="s">
        <v>26</v>
      </c>
      <c r="Q42" s="5"/>
    </row>
    <row r="43" customFormat="false" ht="15" hidden="false" customHeight="false" outlineLevel="0" collapsed="false">
      <c r="A43" s="5" t="s">
        <v>150</v>
      </c>
      <c r="B43" s="5" t="s">
        <v>155</v>
      </c>
      <c r="C43" s="5" t="s">
        <v>156</v>
      </c>
      <c r="D43" s="5" t="s">
        <v>101</v>
      </c>
      <c r="E43" s="5" t="s">
        <v>101</v>
      </c>
      <c r="F43" s="5" t="s">
        <v>157</v>
      </c>
      <c r="G43" s="5" t="n">
        <v>1</v>
      </c>
      <c r="H43" s="5" t="n">
        <v>1</v>
      </c>
      <c r="I43" s="5" t="n">
        <f aca="false">G43*H43</f>
        <v>1</v>
      </c>
      <c r="J43" s="5" t="n">
        <v>0</v>
      </c>
      <c r="K43" s="5" t="n">
        <f aca="false">I43+J43</f>
        <v>1</v>
      </c>
      <c r="L43" s="5" t="s">
        <v>103</v>
      </c>
      <c r="M43" s="6"/>
      <c r="N43" s="7"/>
      <c r="O43" s="8" t="str">
        <f aca="false">IF(N43="","",K43*N43)</f>
        <v/>
      </c>
      <c r="P43" s="6" t="s">
        <v>26</v>
      </c>
      <c r="Q43" s="5"/>
    </row>
    <row r="44" customFormat="false" ht="15" hidden="false" customHeight="false" outlineLevel="0" collapsed="false">
      <c r="A44" s="5" t="s">
        <v>150</v>
      </c>
      <c r="B44" s="5" t="s">
        <v>158</v>
      </c>
      <c r="C44" s="5" t="s">
        <v>88</v>
      </c>
      <c r="D44" s="5" t="s">
        <v>89</v>
      </c>
      <c r="E44" s="5" t="s">
        <v>89</v>
      </c>
      <c r="F44" s="5" t="s">
        <v>89</v>
      </c>
      <c r="G44" s="5"/>
      <c r="H44" s="5"/>
      <c r="I44" s="5"/>
      <c r="J44" s="5"/>
      <c r="K44" s="5"/>
      <c r="L44" s="5"/>
      <c r="M44" s="5"/>
      <c r="N44" s="8"/>
      <c r="O44" s="8"/>
      <c r="P44" s="5"/>
      <c r="Q44" s="5" t="s">
        <v>90</v>
      </c>
    </row>
    <row r="45" customFormat="false" ht="15" hidden="false" customHeight="false" outlineLevel="0" collapsed="false">
      <c r="A45" s="4" t="s">
        <v>159</v>
      </c>
      <c r="B45" s="4"/>
      <c r="C45" s="4" t="s">
        <v>151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customFormat="false" ht="26.85" hidden="false" customHeight="false" outlineLevel="0" collapsed="false">
      <c r="A46" s="5" t="s">
        <v>159</v>
      </c>
      <c r="B46" s="5" t="s">
        <v>160</v>
      </c>
      <c r="C46" s="5" t="s">
        <v>161</v>
      </c>
      <c r="D46" s="5" t="s">
        <v>162</v>
      </c>
      <c r="E46" s="5" t="s">
        <v>163</v>
      </c>
      <c r="F46" s="5" t="s">
        <v>37</v>
      </c>
      <c r="G46" s="5" t="n">
        <v>4</v>
      </c>
      <c r="H46" s="5" t="n">
        <v>1</v>
      </c>
      <c r="I46" s="5" t="n">
        <f aca="false">G46*H46</f>
        <v>4</v>
      </c>
      <c r="J46" s="5" t="n">
        <v>1</v>
      </c>
      <c r="K46" s="5" t="n">
        <f aca="false">I46+J46</f>
        <v>5</v>
      </c>
      <c r="L46" s="5" t="s">
        <v>164</v>
      </c>
      <c r="M46" s="6"/>
      <c r="N46" s="7"/>
      <c r="O46" s="8" t="str">
        <f aca="false">IF(N46="","",K46*N46)</f>
        <v/>
      </c>
      <c r="P46" s="6" t="s">
        <v>26</v>
      </c>
      <c r="Q46" s="5"/>
    </row>
    <row r="47" customFormat="false" ht="15" hidden="false" customHeight="false" outlineLevel="0" collapsed="false">
      <c r="A47" s="5" t="s">
        <v>159</v>
      </c>
      <c r="B47" s="5" t="s">
        <v>165</v>
      </c>
      <c r="C47" s="5" t="s">
        <v>166</v>
      </c>
      <c r="D47" s="5" t="s">
        <v>141</v>
      </c>
      <c r="E47" s="5" t="s">
        <v>141</v>
      </c>
      <c r="F47" s="5" t="s">
        <v>142</v>
      </c>
      <c r="G47" s="5" t="n">
        <v>1</v>
      </c>
      <c r="H47" s="5" t="n">
        <v>1</v>
      </c>
      <c r="I47" s="5" t="n">
        <f aca="false">G47*H47</f>
        <v>1</v>
      </c>
      <c r="J47" s="5" t="n">
        <v>1</v>
      </c>
      <c r="K47" s="5" t="n">
        <f aca="false">I47+J47</f>
        <v>2</v>
      </c>
      <c r="L47" s="5" t="s">
        <v>143</v>
      </c>
      <c r="M47" s="6"/>
      <c r="N47" s="7"/>
      <c r="O47" s="8" t="str">
        <f aca="false">IF(N47="","",K47*N47)</f>
        <v/>
      </c>
      <c r="P47" s="6" t="s">
        <v>26</v>
      </c>
      <c r="Q47" s="5" t="s">
        <v>167</v>
      </c>
    </row>
    <row r="48" customFormat="false" ht="15" hidden="false" customHeight="false" outlineLevel="0" collapsed="false">
      <c r="A48" s="5" t="s">
        <v>159</v>
      </c>
      <c r="B48" s="5" t="s">
        <v>168</v>
      </c>
      <c r="C48" s="5" t="s">
        <v>169</v>
      </c>
      <c r="D48" s="5" t="s">
        <v>170</v>
      </c>
      <c r="E48" s="5" t="s">
        <v>170</v>
      </c>
      <c r="F48" s="5" t="s">
        <v>171</v>
      </c>
      <c r="G48" s="5" t="n">
        <v>1</v>
      </c>
      <c r="H48" s="5" t="n">
        <v>1</v>
      </c>
      <c r="I48" s="5" t="n">
        <f aca="false">G48*H48</f>
        <v>1</v>
      </c>
      <c r="J48" s="5" t="n">
        <v>1</v>
      </c>
      <c r="K48" s="5" t="n">
        <f aca="false">I48+J48</f>
        <v>2</v>
      </c>
      <c r="L48" s="5" t="s">
        <v>172</v>
      </c>
      <c r="M48" s="6"/>
      <c r="N48" s="7"/>
      <c r="O48" s="8" t="str">
        <f aca="false">IF(N48="","",K48*N48)</f>
        <v/>
      </c>
      <c r="P48" s="6" t="s">
        <v>26</v>
      </c>
      <c r="Q48" s="5"/>
    </row>
    <row r="49" customFormat="false" ht="15" hidden="false" customHeight="false" outlineLevel="0" collapsed="false">
      <c r="A49" s="5" t="s">
        <v>159</v>
      </c>
      <c r="B49" s="5" t="s">
        <v>173</v>
      </c>
      <c r="C49" s="5" t="s">
        <v>174</v>
      </c>
      <c r="D49" s="5" t="s">
        <v>175</v>
      </c>
      <c r="E49" s="5" t="s">
        <v>175</v>
      </c>
      <c r="F49" s="5" t="s">
        <v>37</v>
      </c>
      <c r="G49" s="5" t="n">
        <v>1</v>
      </c>
      <c r="H49" s="5" t="n">
        <v>1</v>
      </c>
      <c r="I49" s="5" t="n">
        <f aca="false">G49*H49</f>
        <v>1</v>
      </c>
      <c r="J49" s="5" t="n">
        <v>1</v>
      </c>
      <c r="K49" s="5" t="n">
        <f aca="false">I49+J49</f>
        <v>2</v>
      </c>
      <c r="L49" s="5" t="s">
        <v>176</v>
      </c>
      <c r="M49" s="6"/>
      <c r="N49" s="7"/>
      <c r="O49" s="8" t="str">
        <f aca="false">IF(N49="","",K49*N49)</f>
        <v/>
      </c>
      <c r="P49" s="6" t="s">
        <v>26</v>
      </c>
      <c r="Q49" s="5" t="s">
        <v>177</v>
      </c>
    </row>
    <row r="50" customFormat="false" ht="15" hidden="false" customHeight="false" outlineLevel="0" collapsed="false">
      <c r="A50" s="5" t="s">
        <v>159</v>
      </c>
      <c r="B50" s="5" t="s">
        <v>178</v>
      </c>
      <c r="C50" s="5" t="s">
        <v>88</v>
      </c>
      <c r="D50" s="5" t="s">
        <v>89</v>
      </c>
      <c r="E50" s="5" t="s">
        <v>89</v>
      </c>
      <c r="F50" s="5" t="s">
        <v>89</v>
      </c>
      <c r="G50" s="5"/>
      <c r="H50" s="5"/>
      <c r="I50" s="5"/>
      <c r="J50" s="5"/>
      <c r="K50" s="5"/>
      <c r="L50" s="5"/>
      <c r="M50" s="5"/>
      <c r="N50" s="8"/>
      <c r="O50" s="8"/>
      <c r="P50" s="5"/>
      <c r="Q50" s="5" t="s">
        <v>90</v>
      </c>
    </row>
    <row r="51" customFormat="false" ht="15" hidden="false" customHeight="false" outlineLevel="0" collapsed="false">
      <c r="A51" s="4" t="s">
        <v>179</v>
      </c>
      <c r="B51" s="4"/>
      <c r="C51" s="4" t="s">
        <v>151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customFormat="false" ht="26.85" hidden="false" customHeight="false" outlineLevel="0" collapsed="false">
      <c r="A52" s="5" t="s">
        <v>179</v>
      </c>
      <c r="B52" s="5" t="s">
        <v>180</v>
      </c>
      <c r="C52" s="5" t="s">
        <v>181</v>
      </c>
      <c r="D52" s="5" t="s">
        <v>182</v>
      </c>
      <c r="E52" s="5" t="s">
        <v>183</v>
      </c>
      <c r="F52" s="5" t="s">
        <v>184</v>
      </c>
      <c r="G52" s="5" t="n">
        <v>6</v>
      </c>
      <c r="H52" s="5" t="n">
        <v>1</v>
      </c>
      <c r="I52" s="5" t="n">
        <f aca="false">G52*H52</f>
        <v>6</v>
      </c>
      <c r="J52" s="5" t="n">
        <v>1</v>
      </c>
      <c r="K52" s="5" t="n">
        <f aca="false">I52+J52</f>
        <v>7</v>
      </c>
      <c r="L52" s="5" t="s">
        <v>185</v>
      </c>
      <c r="M52" s="6"/>
      <c r="N52" s="7"/>
      <c r="O52" s="8" t="str">
        <f aca="false">IF(N52="","",K52*N52)</f>
        <v/>
      </c>
      <c r="P52" s="6" t="s">
        <v>26</v>
      </c>
      <c r="Q52" s="5" t="s">
        <v>186</v>
      </c>
    </row>
    <row r="53" customFormat="false" ht="15" hidden="false" customHeight="false" outlineLevel="0" collapsed="false">
      <c r="A53" s="5" t="s">
        <v>179</v>
      </c>
      <c r="B53" s="5" t="s">
        <v>89</v>
      </c>
      <c r="C53" s="5" t="s">
        <v>187</v>
      </c>
      <c r="D53" s="5" t="s">
        <v>89</v>
      </c>
      <c r="E53" s="5" t="s">
        <v>184</v>
      </c>
      <c r="F53" s="5" t="s">
        <v>188</v>
      </c>
      <c r="G53" s="5" t="n">
        <v>6</v>
      </c>
      <c r="H53" s="5" t="n">
        <v>1</v>
      </c>
      <c r="I53" s="5" t="n">
        <f aca="false">G53*H53</f>
        <v>6</v>
      </c>
      <c r="J53" s="5" t="n">
        <v>1</v>
      </c>
      <c r="K53" s="5" t="n">
        <f aca="false">I53+J53</f>
        <v>7</v>
      </c>
      <c r="L53" s="5" t="s">
        <v>189</v>
      </c>
      <c r="M53" s="6"/>
      <c r="N53" s="7"/>
      <c r="O53" s="8" t="str">
        <f aca="false">IF(N53="","",K53*N53)</f>
        <v/>
      </c>
      <c r="P53" s="6" t="s">
        <v>26</v>
      </c>
      <c r="Q53" s="5" t="s">
        <v>190</v>
      </c>
    </row>
    <row r="54" customFormat="false" ht="15" hidden="false" customHeight="false" outlineLevel="0" collapsed="false">
      <c r="A54" s="5" t="s">
        <v>179</v>
      </c>
      <c r="B54" s="5" t="s">
        <v>89</v>
      </c>
      <c r="C54" s="5" t="s">
        <v>191</v>
      </c>
      <c r="D54" s="5" t="s">
        <v>66</v>
      </c>
      <c r="E54" s="5" t="s">
        <v>66</v>
      </c>
      <c r="F54" s="5" t="s">
        <v>67</v>
      </c>
      <c r="G54" s="5" t="n">
        <v>6</v>
      </c>
      <c r="H54" s="5" t="n">
        <v>1</v>
      </c>
      <c r="I54" s="5" t="n">
        <f aca="false">G54*H54</f>
        <v>6</v>
      </c>
      <c r="J54" s="5" t="n">
        <v>2</v>
      </c>
      <c r="K54" s="5" t="n">
        <f aca="false">I54+J54</f>
        <v>8</v>
      </c>
      <c r="L54" s="5" t="s">
        <v>68</v>
      </c>
      <c r="M54" s="6"/>
      <c r="N54" s="7"/>
      <c r="O54" s="8" t="str">
        <f aca="false">IF(N54="","",K54*N54)</f>
        <v/>
      </c>
      <c r="P54" s="6" t="s">
        <v>26</v>
      </c>
      <c r="Q54" s="5" t="s">
        <v>69</v>
      </c>
    </row>
    <row r="55" customFormat="false" ht="15" hidden="false" customHeight="false" outlineLevel="0" collapsed="false">
      <c r="A55" s="4" t="s">
        <v>192</v>
      </c>
      <c r="B55" s="4"/>
      <c r="C55" s="4" t="s">
        <v>151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customFormat="false" ht="26.85" hidden="false" customHeight="false" outlineLevel="0" collapsed="false">
      <c r="A56" s="5" t="s">
        <v>192</v>
      </c>
      <c r="B56" s="5" t="s">
        <v>89</v>
      </c>
      <c r="C56" s="5" t="s">
        <v>193</v>
      </c>
      <c r="D56" s="5" t="s">
        <v>194</v>
      </c>
      <c r="E56" s="5" t="s">
        <v>195</v>
      </c>
      <c r="F56" s="5" t="s">
        <v>196</v>
      </c>
      <c r="G56" s="5" t="n">
        <v>1</v>
      </c>
      <c r="H56" s="5" t="n">
        <v>1</v>
      </c>
      <c r="I56" s="5" t="n">
        <f aca="false">G56*H56</f>
        <v>1</v>
      </c>
      <c r="J56" s="5" t="n">
        <v>1</v>
      </c>
      <c r="K56" s="5" t="n">
        <f aca="false">I56+J56</f>
        <v>2</v>
      </c>
      <c r="L56" s="5" t="s">
        <v>197</v>
      </c>
      <c r="M56" s="6" t="s">
        <v>198</v>
      </c>
      <c r="N56" s="7" t="n">
        <v>890</v>
      </c>
      <c r="O56" s="8" t="n">
        <f aca="false">IF(N56="","",K56*N56)</f>
        <v>1780</v>
      </c>
      <c r="P56" s="6" t="s">
        <v>26</v>
      </c>
      <c r="Q56" s="5" t="s">
        <v>199</v>
      </c>
    </row>
    <row r="57" customFormat="false" ht="15" hidden="false" customHeight="false" outlineLevel="0" collapsed="false">
      <c r="A57" s="5" t="s">
        <v>192</v>
      </c>
      <c r="B57" s="5" t="s">
        <v>89</v>
      </c>
      <c r="C57" s="5" t="s">
        <v>200</v>
      </c>
      <c r="D57" s="5" t="s">
        <v>201</v>
      </c>
      <c r="E57" s="5" t="s">
        <v>201</v>
      </c>
      <c r="F57" s="5" t="s">
        <v>67</v>
      </c>
      <c r="G57" s="5" t="n">
        <v>2</v>
      </c>
      <c r="H57" s="5" t="n">
        <v>1</v>
      </c>
      <c r="I57" s="5" t="n">
        <f aca="false">G57*H57</f>
        <v>2</v>
      </c>
      <c r="J57" s="5" t="n">
        <v>1</v>
      </c>
      <c r="K57" s="5" t="n">
        <f aca="false">I57+J57</f>
        <v>3</v>
      </c>
      <c r="L57" s="5" t="s">
        <v>202</v>
      </c>
      <c r="M57" s="6"/>
      <c r="N57" s="7"/>
      <c r="O57" s="8" t="str">
        <f aca="false">IF(N57="","",K57*N57)</f>
        <v/>
      </c>
      <c r="P57" s="6" t="s">
        <v>26</v>
      </c>
      <c r="Q57" s="5" t="s">
        <v>203</v>
      </c>
    </row>
    <row r="58" customFormat="false" ht="15" hidden="false" customHeight="false" outlineLevel="0" collapsed="false">
      <c r="A58" s="5" t="s">
        <v>192</v>
      </c>
      <c r="B58" s="5" t="s">
        <v>89</v>
      </c>
      <c r="C58" s="5" t="s">
        <v>204</v>
      </c>
      <c r="D58" s="5" t="s">
        <v>101</v>
      </c>
      <c r="E58" s="5" t="s">
        <v>101</v>
      </c>
      <c r="F58" s="5" t="s">
        <v>205</v>
      </c>
      <c r="G58" s="5" t="n">
        <v>1</v>
      </c>
      <c r="H58" s="5" t="n">
        <v>1</v>
      </c>
      <c r="I58" s="5" t="n">
        <f aca="false">G58*H58</f>
        <v>1</v>
      </c>
      <c r="J58" s="5" t="n">
        <v>1</v>
      </c>
      <c r="K58" s="5" t="n">
        <f aca="false">I58+J58</f>
        <v>2</v>
      </c>
      <c r="L58" s="5" t="s">
        <v>103</v>
      </c>
      <c r="M58" s="6"/>
      <c r="N58" s="7"/>
      <c r="O58" s="8" t="str">
        <f aca="false">IF(N58="","",K58*N58)</f>
        <v/>
      </c>
      <c r="P58" s="6" t="s">
        <v>26</v>
      </c>
      <c r="Q58" s="5"/>
    </row>
    <row r="59" customFormat="false" ht="15" hidden="false" customHeight="false" outlineLevel="0" collapsed="false">
      <c r="A59" s="5" t="s">
        <v>192</v>
      </c>
      <c r="B59" s="5" t="s">
        <v>89</v>
      </c>
      <c r="C59" s="5" t="s">
        <v>206</v>
      </c>
      <c r="D59" s="5" t="s">
        <v>89</v>
      </c>
      <c r="E59" s="5" t="s">
        <v>207</v>
      </c>
      <c r="F59" s="5" t="s">
        <v>89</v>
      </c>
      <c r="G59" s="5" t="n">
        <v>1</v>
      </c>
      <c r="H59" s="5" t="n">
        <v>1</v>
      </c>
      <c r="I59" s="5" t="n">
        <f aca="false">G59*H59</f>
        <v>1</v>
      </c>
      <c r="J59" s="5" t="n">
        <v>0</v>
      </c>
      <c r="K59" s="5" t="n">
        <f aca="false">I59+J59</f>
        <v>1</v>
      </c>
      <c r="L59" s="5" t="s">
        <v>208</v>
      </c>
      <c r="M59" s="6"/>
      <c r="N59" s="7"/>
      <c r="O59" s="8" t="str">
        <f aca="false">IF(N59="","",K59*N59)</f>
        <v/>
      </c>
      <c r="P59" s="6" t="s">
        <v>26</v>
      </c>
      <c r="Q59" s="5" t="s">
        <v>209</v>
      </c>
    </row>
    <row r="60" customFormat="false" ht="15" hidden="false" customHeight="false" outlineLevel="0" collapsed="false">
      <c r="A60" s="5" t="s">
        <v>192</v>
      </c>
      <c r="B60" s="5" t="s">
        <v>89</v>
      </c>
      <c r="C60" s="5" t="s">
        <v>210</v>
      </c>
      <c r="D60" s="5" t="s">
        <v>89</v>
      </c>
      <c r="E60" s="5" t="s">
        <v>211</v>
      </c>
      <c r="F60" s="5" t="s">
        <v>212</v>
      </c>
      <c r="G60" s="5" t="n">
        <v>3</v>
      </c>
      <c r="H60" s="5" t="n">
        <v>1</v>
      </c>
      <c r="I60" s="5" t="n">
        <f aca="false">G60*H60</f>
        <v>3</v>
      </c>
      <c r="J60" s="5" t="n">
        <v>3</v>
      </c>
      <c r="K60" s="5" t="n">
        <f aca="false">I60+J60</f>
        <v>6</v>
      </c>
      <c r="L60" s="5" t="s">
        <v>213</v>
      </c>
      <c r="M60" s="6"/>
      <c r="N60" s="7"/>
      <c r="O60" s="8" t="str">
        <f aca="false">IF(N60="","",K60*N60)</f>
        <v/>
      </c>
      <c r="P60" s="6" t="s">
        <v>26</v>
      </c>
      <c r="Q60" s="5"/>
    </row>
    <row r="61" customFormat="false" ht="15" hidden="false" customHeight="false" outlineLevel="0" collapsed="false">
      <c r="A61" s="5" t="s">
        <v>192</v>
      </c>
      <c r="B61" s="5" t="s">
        <v>89</v>
      </c>
      <c r="C61" s="5" t="s">
        <v>214</v>
      </c>
      <c r="D61" s="5" t="s">
        <v>89</v>
      </c>
      <c r="E61" s="5" t="s">
        <v>215</v>
      </c>
      <c r="F61" s="5" t="s">
        <v>89</v>
      </c>
      <c r="G61" s="5" t="n">
        <v>1</v>
      </c>
      <c r="H61" s="5" t="n">
        <v>1</v>
      </c>
      <c r="I61" s="5" t="n">
        <f aca="false">G61*H61</f>
        <v>1</v>
      </c>
      <c r="J61" s="5" t="n">
        <v>0</v>
      </c>
      <c r="K61" s="5" t="n">
        <f aca="false">I61+J61</f>
        <v>1</v>
      </c>
      <c r="L61" s="5" t="s">
        <v>216</v>
      </c>
      <c r="M61" s="6"/>
      <c r="N61" s="7"/>
      <c r="O61" s="8" t="str">
        <f aca="false">IF(N61="","",K61*N61)</f>
        <v/>
      </c>
      <c r="P61" s="6" t="s">
        <v>26</v>
      </c>
      <c r="Q61" s="5"/>
    </row>
    <row r="62" customFormat="false" ht="15" hidden="false" customHeight="false" outlineLevel="0" collapsed="false">
      <c r="A62" s="4" t="s">
        <v>217</v>
      </c>
      <c r="B62" s="4"/>
      <c r="C62" s="4" t="s">
        <v>151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customFormat="false" ht="15" hidden="false" customHeight="false" outlineLevel="0" collapsed="false">
      <c r="A63" s="5" t="s">
        <v>217</v>
      </c>
      <c r="B63" s="5" t="s">
        <v>218</v>
      </c>
      <c r="C63" s="5" t="s">
        <v>219</v>
      </c>
      <c r="D63" s="5" t="s">
        <v>89</v>
      </c>
      <c r="E63" s="5" t="s">
        <v>220</v>
      </c>
      <c r="F63" s="5" t="s">
        <v>221</v>
      </c>
      <c r="G63" s="5" t="n">
        <v>9</v>
      </c>
      <c r="H63" s="5" t="n">
        <v>1</v>
      </c>
      <c r="I63" s="5" t="n">
        <f aca="false">G63*H63</f>
        <v>9</v>
      </c>
      <c r="J63" s="5" t="n">
        <v>41</v>
      </c>
      <c r="K63" s="5" t="n">
        <f aca="false">I63+J63</f>
        <v>50</v>
      </c>
      <c r="L63" s="5" t="s">
        <v>222</v>
      </c>
      <c r="M63" s="6"/>
      <c r="N63" s="7"/>
      <c r="O63" s="8" t="str">
        <f aca="false">IF(N63="","",K63*N63)</f>
        <v/>
      </c>
      <c r="P63" s="6" t="s">
        <v>26</v>
      </c>
      <c r="Q63" s="5" t="s">
        <v>223</v>
      </c>
    </row>
    <row r="64" customFormat="false" ht="15" hidden="false" customHeight="false" outlineLevel="0" collapsed="false">
      <c r="A64" s="5" t="s">
        <v>217</v>
      </c>
      <c r="B64" s="5" t="s">
        <v>89</v>
      </c>
      <c r="C64" s="5" t="s">
        <v>224</v>
      </c>
      <c r="D64" s="5" t="s">
        <v>89</v>
      </c>
      <c r="E64" s="5" t="s">
        <v>225</v>
      </c>
      <c r="F64" s="5" t="s">
        <v>89</v>
      </c>
      <c r="G64" s="5" t="n">
        <v>9</v>
      </c>
      <c r="H64" s="5" t="n">
        <v>1</v>
      </c>
      <c r="I64" s="5" t="n">
        <f aca="false">G64*H64</f>
        <v>9</v>
      </c>
      <c r="J64" s="5" t="n">
        <v>1</v>
      </c>
      <c r="K64" s="5" t="n">
        <f aca="false">I64+J64</f>
        <v>10</v>
      </c>
      <c r="L64" s="5" t="s">
        <v>226</v>
      </c>
      <c r="M64" s="6"/>
      <c r="N64" s="7"/>
      <c r="O64" s="8" t="str">
        <f aca="false">IF(N64="","",K64*N64)</f>
        <v/>
      </c>
      <c r="P64" s="6" t="s">
        <v>26</v>
      </c>
      <c r="Q64" s="5" t="s">
        <v>227</v>
      </c>
    </row>
    <row r="65" customFormat="false" ht="15" hidden="false" customHeight="false" outlineLevel="0" collapsed="false">
      <c r="A65" s="5" t="s">
        <v>217</v>
      </c>
      <c r="B65" s="5" t="s">
        <v>89</v>
      </c>
      <c r="C65" s="5" t="s">
        <v>228</v>
      </c>
      <c r="D65" s="5" t="s">
        <v>89</v>
      </c>
      <c r="E65" s="5" t="s">
        <v>89</v>
      </c>
      <c r="F65" s="5" t="s">
        <v>89</v>
      </c>
      <c r="G65" s="5" t="n">
        <v>1</v>
      </c>
      <c r="H65" s="5" t="n">
        <v>1</v>
      </c>
      <c r="I65" s="5" t="n">
        <f aca="false">G65*H65</f>
        <v>1</v>
      </c>
      <c r="J65" s="5" t="n">
        <v>0</v>
      </c>
      <c r="K65" s="5" t="n">
        <f aca="false">I65+J65</f>
        <v>1</v>
      </c>
      <c r="L65" s="5" t="s">
        <v>229</v>
      </c>
      <c r="M65" s="6"/>
      <c r="N65" s="7"/>
      <c r="O65" s="8" t="str">
        <f aca="false">IF(N65="","",K65*N65)</f>
        <v/>
      </c>
      <c r="P65" s="6" t="s">
        <v>26</v>
      </c>
      <c r="Q65" s="5" t="s">
        <v>230</v>
      </c>
    </row>
    <row r="66" customFormat="false" ht="15" hidden="false" customHeight="false" outlineLevel="0" collapsed="false">
      <c r="A66" s="4" t="s">
        <v>231</v>
      </c>
      <c r="B66" s="4"/>
      <c r="C66" s="4" t="s">
        <v>151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customFormat="false" ht="26.85" hidden="false" customHeight="false" outlineLevel="0" collapsed="false">
      <c r="A67" s="5" t="s">
        <v>231</v>
      </c>
      <c r="B67" s="5" t="s">
        <v>89</v>
      </c>
      <c r="C67" s="5" t="s">
        <v>232</v>
      </c>
      <c r="D67" s="5" t="s">
        <v>89</v>
      </c>
      <c r="E67" s="5" t="s">
        <v>233</v>
      </c>
      <c r="F67" s="5" t="s">
        <v>234</v>
      </c>
      <c r="G67" s="5" t="n">
        <v>1</v>
      </c>
      <c r="H67" s="5" t="n">
        <v>1</v>
      </c>
      <c r="I67" s="5" t="n">
        <f aca="false">G67*H67</f>
        <v>1</v>
      </c>
      <c r="J67" s="5" t="n">
        <v>1</v>
      </c>
      <c r="K67" s="5" t="n">
        <f aca="false">I67+J67</f>
        <v>2</v>
      </c>
      <c r="L67" s="5" t="s">
        <v>235</v>
      </c>
      <c r="M67" s="6"/>
      <c r="N67" s="7"/>
      <c r="O67" s="8" t="str">
        <f aca="false">IF(N67="","",K67*N67)</f>
        <v/>
      </c>
      <c r="P67" s="6" t="s">
        <v>26</v>
      </c>
      <c r="Q67" s="5"/>
    </row>
    <row r="68" customFormat="false" ht="26.85" hidden="false" customHeight="false" outlineLevel="0" collapsed="false">
      <c r="A68" s="5" t="s">
        <v>231</v>
      </c>
      <c r="B68" s="5" t="s">
        <v>89</v>
      </c>
      <c r="C68" s="5" t="s">
        <v>236</v>
      </c>
      <c r="D68" s="5" t="s">
        <v>89</v>
      </c>
      <c r="E68" s="5" t="s">
        <v>237</v>
      </c>
      <c r="F68" s="5" t="s">
        <v>188</v>
      </c>
      <c r="G68" s="5" t="n">
        <v>4</v>
      </c>
      <c r="H68" s="5" t="n">
        <v>1</v>
      </c>
      <c r="I68" s="5" t="n">
        <f aca="false">G68*H68</f>
        <v>4</v>
      </c>
      <c r="J68" s="5" t="n">
        <v>1</v>
      </c>
      <c r="K68" s="5" t="n">
        <f aca="false">I68+J68</f>
        <v>5</v>
      </c>
      <c r="L68" s="5" t="s">
        <v>238</v>
      </c>
      <c r="M68" s="6"/>
      <c r="N68" s="7"/>
      <c r="O68" s="8" t="str">
        <f aca="false">IF(N68="","",K68*N68)</f>
        <v/>
      </c>
      <c r="P68" s="6" t="s">
        <v>26</v>
      </c>
      <c r="Q68" s="5" t="s">
        <v>239</v>
      </c>
    </row>
    <row r="69" customFormat="false" ht="26.85" hidden="false" customHeight="false" outlineLevel="0" collapsed="false">
      <c r="A69" s="5" t="s">
        <v>231</v>
      </c>
      <c r="B69" s="5" t="s">
        <v>89</v>
      </c>
      <c r="C69" s="5" t="s">
        <v>240</v>
      </c>
      <c r="D69" s="5" t="s">
        <v>89</v>
      </c>
      <c r="E69" s="5" t="s">
        <v>89</v>
      </c>
      <c r="F69" s="5" t="s">
        <v>241</v>
      </c>
      <c r="G69" s="5" t="n">
        <v>4</v>
      </c>
      <c r="H69" s="5" t="n">
        <v>1</v>
      </c>
      <c r="I69" s="5" t="n">
        <f aca="false">G69*H69</f>
        <v>4</v>
      </c>
      <c r="J69" s="5" t="n">
        <v>1</v>
      </c>
      <c r="K69" s="5" t="n">
        <f aca="false">I69+J69</f>
        <v>5</v>
      </c>
      <c r="L69" s="5" t="s">
        <v>242</v>
      </c>
      <c r="M69" s="6"/>
      <c r="N69" s="7"/>
      <c r="O69" s="8" t="str">
        <f aca="false">IF(N69="","",K69*N69)</f>
        <v/>
      </c>
      <c r="P69" s="6" t="s">
        <v>26</v>
      </c>
      <c r="Q69" s="5" t="s">
        <v>243</v>
      </c>
    </row>
    <row r="70" customFormat="false" ht="26.85" hidden="false" customHeight="false" outlineLevel="0" collapsed="false">
      <c r="A70" s="5" t="s">
        <v>231</v>
      </c>
      <c r="B70" s="5" t="s">
        <v>89</v>
      </c>
      <c r="C70" s="5" t="s">
        <v>244</v>
      </c>
      <c r="D70" s="5" t="s">
        <v>89</v>
      </c>
      <c r="E70" s="5" t="s">
        <v>245</v>
      </c>
      <c r="F70" s="5" t="s">
        <v>89</v>
      </c>
      <c r="G70" s="5" t="n">
        <v>2</v>
      </c>
      <c r="H70" s="5" t="n">
        <v>1</v>
      </c>
      <c r="I70" s="5" t="n">
        <f aca="false">G70*H70</f>
        <v>2</v>
      </c>
      <c r="J70" s="5" t="n">
        <v>1</v>
      </c>
      <c r="K70" s="5" t="n">
        <f aca="false">I70+J70</f>
        <v>3</v>
      </c>
      <c r="L70" s="5" t="s">
        <v>246</v>
      </c>
      <c r="M70" s="6"/>
      <c r="N70" s="7"/>
      <c r="O70" s="8" t="str">
        <f aca="false">IF(N70="","",K70*N70)</f>
        <v/>
      </c>
      <c r="P70" s="6" t="s">
        <v>26</v>
      </c>
      <c r="Q70" s="5"/>
    </row>
    <row r="71" customFormat="false" ht="26.85" hidden="false" customHeight="false" outlineLevel="0" collapsed="false">
      <c r="A71" s="5" t="s">
        <v>231</v>
      </c>
      <c r="B71" s="5" t="s">
        <v>89</v>
      </c>
      <c r="C71" s="5" t="s">
        <v>247</v>
      </c>
      <c r="D71" s="5" t="s">
        <v>89</v>
      </c>
      <c r="E71" s="5" t="s">
        <v>248</v>
      </c>
      <c r="F71" s="5" t="s">
        <v>89</v>
      </c>
      <c r="G71" s="5" t="n">
        <v>1</v>
      </c>
      <c r="H71" s="5" t="n">
        <v>1</v>
      </c>
      <c r="I71" s="5" t="n">
        <f aca="false">G71*H71</f>
        <v>1</v>
      </c>
      <c r="J71" s="5" t="n">
        <v>0</v>
      </c>
      <c r="K71" s="5" t="n">
        <f aca="false">I71+J71</f>
        <v>1</v>
      </c>
      <c r="L71" s="5" t="s">
        <v>249</v>
      </c>
      <c r="M71" s="6"/>
      <c r="N71" s="7"/>
      <c r="O71" s="8" t="str">
        <f aca="false">IF(N71="","",K71*N71)</f>
        <v/>
      </c>
      <c r="P71" s="6" t="s">
        <v>26</v>
      </c>
      <c r="Q71" s="5"/>
    </row>
    <row r="73" customFormat="false" ht="15" hidden="false" customHeight="false" outlineLevel="0" collapsed="false">
      <c r="N73" s="9" t="s">
        <v>250</v>
      </c>
      <c r="O73" s="10" t="n">
        <f aca="false">SUM(O5:O71)</f>
        <v>1780</v>
      </c>
    </row>
  </sheetData>
  <autoFilter ref="A4:Q71"/>
  <dataValidations count="1">
    <dataValidation allowBlank="true" errorStyle="stop" operator="between" showDropDown="false" showErrorMessage="false" showInputMessage="false" sqref="P6:P7 P9:P11 P13:P15 P17:P19 P22:P24 P27:P29 P32:P34 P37:P39 P42:P43 P46:P49 P52:P54 P56:P61 P63:P65 P67:P71" type="list">
      <formula1>"Pendiente,Comprado,No hay,No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251</v>
      </c>
    </row>
    <row r="3" customFormat="false" ht="15" hidden="false" customHeight="false" outlineLevel="0" collapsed="false">
      <c r="A3" s="3" t="s">
        <v>2</v>
      </c>
      <c r="B3" s="3" t="s">
        <v>252</v>
      </c>
      <c r="C3" s="3" t="s">
        <v>253</v>
      </c>
      <c r="D3" s="3" t="s">
        <v>16</v>
      </c>
    </row>
    <row r="4" customFormat="false" ht="15" hidden="false" customHeight="false" outlineLevel="0" collapsed="false">
      <c r="A4" s="11" t="s">
        <v>19</v>
      </c>
      <c r="B4" s="11" t="n">
        <f aca="false">COUNTIFS('BoM por modulo'!$A$5:$A$71,A4,'BoM por modulo'!$P$5:$P$71,"&lt;&gt;")</f>
        <v>2</v>
      </c>
      <c r="C4" s="11" t="n">
        <f aca="false">COUNTIFS('BoM por modulo'!$A$5:$A$71,A4,'BoM por modulo'!$P$5:$P$71,"Pendiente")</f>
        <v>2</v>
      </c>
      <c r="D4" s="12" t="n">
        <f aca="false">SUMIF('BoM por modulo'!$A$5:$A$71,A4,'BoM por modulo'!$O$5:$O$71)</f>
        <v>0</v>
      </c>
    </row>
    <row r="5" customFormat="false" ht="15" hidden="false" customHeight="false" outlineLevel="0" collapsed="false">
      <c r="A5" s="11" t="s">
        <v>33</v>
      </c>
      <c r="B5" s="11" t="n">
        <f aca="false">COUNTIFS('BoM por modulo'!$A$5:$A$71,A5,'BoM por modulo'!$P$5:$P$71,"&lt;&gt;")</f>
        <v>3</v>
      </c>
      <c r="C5" s="11" t="n">
        <f aca="false">COUNTIFS('BoM por modulo'!$A$5:$A$71,A5,'BoM por modulo'!$P$5:$P$71,"Pendiente")</f>
        <v>3</v>
      </c>
      <c r="D5" s="12" t="n">
        <f aca="false">SUMIF('BoM por modulo'!$A$5:$A$71,A5,'BoM por modulo'!$O$5:$O$71)</f>
        <v>0</v>
      </c>
    </row>
    <row r="6" customFormat="false" ht="15" hidden="false" customHeight="false" outlineLevel="0" collapsed="false">
      <c r="A6" s="11" t="s">
        <v>49</v>
      </c>
      <c r="B6" s="11" t="n">
        <f aca="false">COUNTIFS('BoM por modulo'!$A$5:$A$71,A6,'BoM por modulo'!$P$5:$P$71,"&lt;&gt;")</f>
        <v>3</v>
      </c>
      <c r="C6" s="11" t="n">
        <f aca="false">COUNTIFS('BoM por modulo'!$A$5:$A$71,A6,'BoM por modulo'!$P$5:$P$71,"Pendiente")</f>
        <v>3</v>
      </c>
      <c r="D6" s="12" t="n">
        <f aca="false">SUMIF('BoM por modulo'!$A$5:$A$71,A6,'BoM por modulo'!$O$5:$O$71)</f>
        <v>0</v>
      </c>
    </row>
    <row r="7" customFormat="false" ht="15" hidden="false" customHeight="false" outlineLevel="0" collapsed="false">
      <c r="A7" s="11" t="s">
        <v>70</v>
      </c>
      <c r="B7" s="11" t="n">
        <f aca="false">COUNTIFS('BoM por modulo'!$A$5:$A$71,A7,'BoM por modulo'!$P$5:$P$71,"&lt;&gt;")</f>
        <v>3</v>
      </c>
      <c r="C7" s="11" t="n">
        <f aca="false">COUNTIFS('BoM por modulo'!$A$5:$A$71,A7,'BoM por modulo'!$P$5:$P$71,"Pendiente")</f>
        <v>3</v>
      </c>
      <c r="D7" s="12" t="n">
        <f aca="false">SUMIF('BoM por modulo'!$A$5:$A$71,A7,'BoM por modulo'!$O$5:$O$71)</f>
        <v>0</v>
      </c>
    </row>
    <row r="8" customFormat="false" ht="15" hidden="false" customHeight="false" outlineLevel="0" collapsed="false">
      <c r="A8" s="11" t="s">
        <v>91</v>
      </c>
      <c r="B8" s="11" t="n">
        <f aca="false">COUNTIFS('BoM por modulo'!$A$5:$A$71,A8,'BoM por modulo'!$P$5:$P$71,"&lt;&gt;")</f>
        <v>3</v>
      </c>
      <c r="C8" s="11" t="n">
        <f aca="false">COUNTIFS('BoM por modulo'!$A$5:$A$71,A8,'BoM por modulo'!$P$5:$P$71,"Pendiente")</f>
        <v>3</v>
      </c>
      <c r="D8" s="12" t="n">
        <f aca="false">SUMIF('BoM por modulo'!$A$5:$A$71,A8,'BoM por modulo'!$O$5:$O$71)</f>
        <v>0</v>
      </c>
    </row>
    <row r="9" customFormat="false" ht="15" hidden="false" customHeight="false" outlineLevel="0" collapsed="false">
      <c r="A9" s="11" t="s">
        <v>105</v>
      </c>
      <c r="B9" s="11" t="n">
        <f aca="false">COUNTIFS('BoM por modulo'!$A$5:$A$71,A9,'BoM por modulo'!$P$5:$P$71,"&lt;&gt;")</f>
        <v>3</v>
      </c>
      <c r="C9" s="11" t="n">
        <f aca="false">COUNTIFS('BoM por modulo'!$A$5:$A$71,A9,'BoM por modulo'!$P$5:$P$71,"Pendiente")</f>
        <v>3</v>
      </c>
      <c r="D9" s="12" t="n">
        <f aca="false">SUMIF('BoM por modulo'!$A$5:$A$71,A9,'BoM por modulo'!$O$5:$O$71)</f>
        <v>0</v>
      </c>
    </row>
    <row r="10" customFormat="false" ht="15" hidden="false" customHeight="false" outlineLevel="0" collapsed="false">
      <c r="A10" s="11" t="s">
        <v>122</v>
      </c>
      <c r="B10" s="11" t="n">
        <f aca="false">COUNTIFS('BoM por modulo'!$A$5:$A$71,A10,'BoM por modulo'!$P$5:$P$71,"&lt;&gt;")</f>
        <v>3</v>
      </c>
      <c r="C10" s="11" t="n">
        <f aca="false">COUNTIFS('BoM por modulo'!$A$5:$A$71,A10,'BoM por modulo'!$P$5:$P$71,"Pendiente")</f>
        <v>3</v>
      </c>
      <c r="D10" s="12" t="n">
        <f aca="false">SUMIF('BoM por modulo'!$A$5:$A$71,A10,'BoM por modulo'!$O$5:$O$71)</f>
        <v>0</v>
      </c>
    </row>
    <row r="11" customFormat="false" ht="15" hidden="false" customHeight="false" outlineLevel="0" collapsed="false">
      <c r="A11" s="11" t="s">
        <v>134</v>
      </c>
      <c r="B11" s="11" t="n">
        <f aca="false">COUNTIFS('BoM por modulo'!$A$5:$A$71,A11,'BoM por modulo'!$P$5:$P$71,"&lt;&gt;")</f>
        <v>3</v>
      </c>
      <c r="C11" s="11" t="n">
        <f aca="false">COUNTIFS('BoM por modulo'!$A$5:$A$71,A11,'BoM por modulo'!$P$5:$P$71,"Pendiente")</f>
        <v>3</v>
      </c>
      <c r="D11" s="12" t="n">
        <f aca="false">SUMIF('BoM por modulo'!$A$5:$A$71,A11,'BoM por modulo'!$O$5:$O$71)</f>
        <v>0</v>
      </c>
    </row>
    <row r="12" customFormat="false" ht="15" hidden="false" customHeight="false" outlineLevel="0" collapsed="false">
      <c r="A12" s="11" t="s">
        <v>150</v>
      </c>
      <c r="B12" s="11" t="n">
        <f aca="false">COUNTIFS('BoM por modulo'!$A$5:$A$71,A12,'BoM por modulo'!$P$5:$P$71,"&lt;&gt;")</f>
        <v>2</v>
      </c>
      <c r="C12" s="11" t="n">
        <f aca="false">COUNTIFS('BoM por modulo'!$A$5:$A$71,A12,'BoM por modulo'!$P$5:$P$71,"Pendiente")</f>
        <v>2</v>
      </c>
      <c r="D12" s="12" t="n">
        <f aca="false">SUMIF('BoM por modulo'!$A$5:$A$71,A12,'BoM por modulo'!$O$5:$O$71)</f>
        <v>0</v>
      </c>
    </row>
    <row r="13" customFormat="false" ht="15" hidden="false" customHeight="false" outlineLevel="0" collapsed="false">
      <c r="A13" s="11" t="s">
        <v>159</v>
      </c>
      <c r="B13" s="11" t="n">
        <f aca="false">COUNTIFS('BoM por modulo'!$A$5:$A$71,A13,'BoM por modulo'!$P$5:$P$71,"&lt;&gt;")</f>
        <v>4</v>
      </c>
      <c r="C13" s="11" t="n">
        <f aca="false">COUNTIFS('BoM por modulo'!$A$5:$A$71,A13,'BoM por modulo'!$P$5:$P$71,"Pendiente")</f>
        <v>4</v>
      </c>
      <c r="D13" s="12" t="n">
        <f aca="false">SUMIF('BoM por modulo'!$A$5:$A$71,A13,'BoM por modulo'!$O$5:$O$71)</f>
        <v>0</v>
      </c>
    </row>
    <row r="14" customFormat="false" ht="15" hidden="false" customHeight="false" outlineLevel="0" collapsed="false">
      <c r="A14" s="11" t="s">
        <v>179</v>
      </c>
      <c r="B14" s="11" t="n">
        <f aca="false">COUNTIFS('BoM por modulo'!$A$5:$A$71,A14,'BoM por modulo'!$P$5:$P$71,"&lt;&gt;")</f>
        <v>3</v>
      </c>
      <c r="C14" s="11" t="n">
        <f aca="false">COUNTIFS('BoM por modulo'!$A$5:$A$71,A14,'BoM por modulo'!$P$5:$P$71,"Pendiente")</f>
        <v>3</v>
      </c>
      <c r="D14" s="12" t="n">
        <f aca="false">SUMIF('BoM por modulo'!$A$5:$A$71,A14,'BoM por modulo'!$O$5:$O$71)</f>
        <v>0</v>
      </c>
    </row>
    <row r="15" customFormat="false" ht="15" hidden="false" customHeight="false" outlineLevel="0" collapsed="false">
      <c r="A15" s="11" t="s">
        <v>192</v>
      </c>
      <c r="B15" s="11" t="n">
        <f aca="false">COUNTIFS('BoM por modulo'!$A$5:$A$71,A15,'BoM por modulo'!$P$5:$P$71,"&lt;&gt;")</f>
        <v>6</v>
      </c>
      <c r="C15" s="11" t="n">
        <f aca="false">COUNTIFS('BoM por modulo'!$A$5:$A$71,A15,'BoM por modulo'!$P$5:$P$71,"Pendiente")</f>
        <v>6</v>
      </c>
      <c r="D15" s="12" t="n">
        <f aca="false">SUMIF('BoM por modulo'!$A$5:$A$71,A15,'BoM por modulo'!$O$5:$O$71)</f>
        <v>1780</v>
      </c>
    </row>
    <row r="16" customFormat="false" ht="15" hidden="false" customHeight="false" outlineLevel="0" collapsed="false">
      <c r="A16" s="11" t="s">
        <v>217</v>
      </c>
      <c r="B16" s="11" t="n">
        <f aca="false">COUNTIFS('BoM por modulo'!$A$5:$A$71,A16,'BoM por modulo'!$P$5:$P$71,"&lt;&gt;")</f>
        <v>3</v>
      </c>
      <c r="C16" s="11" t="n">
        <f aca="false">COUNTIFS('BoM por modulo'!$A$5:$A$71,A16,'BoM por modulo'!$P$5:$P$71,"Pendiente")</f>
        <v>3</v>
      </c>
      <c r="D16" s="12" t="n">
        <f aca="false">SUMIF('BoM por modulo'!$A$5:$A$71,A16,'BoM por modulo'!$O$5:$O$71)</f>
        <v>0</v>
      </c>
    </row>
    <row r="17" customFormat="false" ht="15" hidden="false" customHeight="false" outlineLevel="0" collapsed="false">
      <c r="A17" s="11" t="s">
        <v>231</v>
      </c>
      <c r="B17" s="11" t="n">
        <f aca="false">COUNTIFS('BoM por modulo'!$A$5:$A$71,A17,'BoM por modulo'!$P$5:$P$71,"&lt;&gt;")</f>
        <v>5</v>
      </c>
      <c r="C17" s="11" t="n">
        <f aca="false">COUNTIFS('BoM por modulo'!$A$5:$A$71,A17,'BoM por modulo'!$P$5:$P$71,"Pendiente")</f>
        <v>5</v>
      </c>
      <c r="D17" s="12" t="n">
        <f aca="false">SUMIF('BoM por modulo'!$A$5:$A$71,A17,'BoM por modulo'!$O$5:$O$71)</f>
        <v>0</v>
      </c>
    </row>
    <row r="18" customFormat="false" ht="15" hidden="false" customHeight="false" outlineLevel="0" collapsed="false">
      <c r="A18" s="13" t="s">
        <v>250</v>
      </c>
      <c r="B18" s="13" t="n">
        <f aca="false">SUM(B4:B17)</f>
        <v>46</v>
      </c>
      <c r="C18" s="13" t="n">
        <f aca="false">SUM(C4:C17)</f>
        <v>46</v>
      </c>
      <c r="D18" s="14" t="n">
        <f aca="false">SUM(D4:D17)</f>
        <v>1780</v>
      </c>
    </row>
    <row r="20" customFormat="false" ht="15" hidden="false" customHeight="false" outlineLevel="0" collapsed="false">
      <c r="A20" s="2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255</v>
      </c>
    </row>
    <row r="3" customFormat="false" ht="15" hidden="false" customHeight="false" outlineLevel="0" collapsed="false">
      <c r="A3" s="4" t="s">
        <v>256</v>
      </c>
      <c r="B3" s="4"/>
      <c r="C3" s="4"/>
    </row>
    <row r="4" customFormat="false" ht="15" hidden="false" customHeight="false" outlineLevel="0" collapsed="false">
      <c r="A4" s="3" t="s">
        <v>257</v>
      </c>
      <c r="B4" s="3" t="s">
        <v>258</v>
      </c>
      <c r="C4" s="3" t="s">
        <v>259</v>
      </c>
    </row>
    <row r="5" customFormat="false" ht="15" hidden="false" customHeight="false" outlineLevel="0" collapsed="false">
      <c r="A5" s="15" t="s">
        <v>260</v>
      </c>
      <c r="B5" s="16" t="s">
        <v>261</v>
      </c>
      <c r="C5" s="16" t="s">
        <v>262</v>
      </c>
    </row>
    <row r="6" customFormat="false" ht="26.85" hidden="false" customHeight="false" outlineLevel="0" collapsed="false">
      <c r="A6" s="15" t="s">
        <v>263</v>
      </c>
      <c r="B6" s="16" t="s">
        <v>264</v>
      </c>
      <c r="C6" s="16" t="s">
        <v>265</v>
      </c>
    </row>
    <row r="7" customFormat="false" ht="26.85" hidden="false" customHeight="false" outlineLevel="0" collapsed="false">
      <c r="A7" s="15" t="s">
        <v>266</v>
      </c>
      <c r="B7" s="16" t="s">
        <v>267</v>
      </c>
      <c r="C7" s="16" t="s">
        <v>268</v>
      </c>
    </row>
    <row r="8" customFormat="false" ht="26.85" hidden="false" customHeight="false" outlineLevel="0" collapsed="false">
      <c r="A8" s="15" t="s">
        <v>269</v>
      </c>
      <c r="B8" s="16" t="s">
        <v>270</v>
      </c>
      <c r="C8" s="16" t="s">
        <v>271</v>
      </c>
    </row>
    <row r="9" customFormat="false" ht="15" hidden="false" customHeight="false" outlineLevel="0" collapsed="false">
      <c r="A9" s="15" t="s">
        <v>272</v>
      </c>
      <c r="B9" s="16" t="s">
        <v>273</v>
      </c>
      <c r="C9" s="16" t="s">
        <v>274</v>
      </c>
    </row>
    <row r="10" customFormat="false" ht="15" hidden="false" customHeight="false" outlineLevel="0" collapsed="false">
      <c r="A10" s="15" t="s">
        <v>275</v>
      </c>
      <c r="B10" s="16" t="s">
        <v>276</v>
      </c>
      <c r="C10" s="16" t="s">
        <v>277</v>
      </c>
    </row>
    <row r="11" customFormat="false" ht="15" hidden="false" customHeight="false" outlineLevel="0" collapsed="false">
      <c r="A11" s="15" t="s">
        <v>278</v>
      </c>
      <c r="B11" s="16" t="s">
        <v>279</v>
      </c>
      <c r="C11" s="16" t="s">
        <v>280</v>
      </c>
    </row>
    <row r="12" customFormat="false" ht="15" hidden="false" customHeight="false" outlineLevel="0" collapsed="false">
      <c r="A12" s="15" t="s">
        <v>281</v>
      </c>
      <c r="B12" s="16" t="s">
        <v>282</v>
      </c>
      <c r="C12" s="16" t="s">
        <v>283</v>
      </c>
    </row>
    <row r="13" customFormat="false" ht="15" hidden="false" customHeight="false" outlineLevel="0" collapsed="false">
      <c r="A13" s="15" t="s">
        <v>284</v>
      </c>
      <c r="B13" s="16" t="s">
        <v>285</v>
      </c>
      <c r="C13" s="16" t="s">
        <v>286</v>
      </c>
    </row>
    <row r="14" customFormat="false" ht="15" hidden="false" customHeight="false" outlineLevel="0" collapsed="false">
      <c r="A14" s="15" t="s">
        <v>287</v>
      </c>
      <c r="B14" s="16" t="s">
        <v>288</v>
      </c>
      <c r="C14" s="16" t="s">
        <v>232</v>
      </c>
    </row>
    <row r="15" customFormat="false" ht="26.85" hidden="false" customHeight="false" outlineLevel="0" collapsed="false">
      <c r="A15" s="15" t="s">
        <v>289</v>
      </c>
      <c r="B15" s="16" t="s">
        <v>290</v>
      </c>
      <c r="C15" s="16"/>
    </row>
    <row r="16" customFormat="false" ht="26.85" hidden="false" customHeight="false" outlineLevel="0" collapsed="false">
      <c r="A16" s="15" t="s">
        <v>291</v>
      </c>
      <c r="B16" s="16" t="s">
        <v>292</v>
      </c>
      <c r="C16" s="16"/>
    </row>
    <row r="17" customFormat="false" ht="26.85" hidden="false" customHeight="false" outlineLevel="0" collapsed="false">
      <c r="A17" s="15" t="s">
        <v>293</v>
      </c>
      <c r="B17" s="16" t="s">
        <v>294</v>
      </c>
      <c r="C17" s="16"/>
    </row>
    <row r="19" customFormat="false" ht="15" hidden="false" customHeight="false" outlineLevel="0" collapsed="false">
      <c r="A19" s="4" t="s">
        <v>295</v>
      </c>
      <c r="B19" s="4"/>
      <c r="C19" s="4"/>
    </row>
    <row r="20" customFormat="false" ht="15" hidden="false" customHeight="false" outlineLevel="0" collapsed="false">
      <c r="A20" s="3" t="s">
        <v>257</v>
      </c>
      <c r="B20" s="3" t="s">
        <v>258</v>
      </c>
      <c r="C20" s="3" t="s">
        <v>259</v>
      </c>
    </row>
    <row r="21" customFormat="false" ht="15" hidden="false" customHeight="false" outlineLevel="0" collapsed="false">
      <c r="A21" s="15" t="s">
        <v>260</v>
      </c>
      <c r="B21" s="16" t="s">
        <v>296</v>
      </c>
      <c r="C21" s="16" t="s">
        <v>297</v>
      </c>
    </row>
    <row r="22" customFormat="false" ht="15" hidden="false" customHeight="false" outlineLevel="0" collapsed="false">
      <c r="A22" s="15" t="s">
        <v>298</v>
      </c>
      <c r="B22" s="16" t="s">
        <v>299</v>
      </c>
      <c r="C22" s="16" t="s">
        <v>300</v>
      </c>
    </row>
    <row r="23" customFormat="false" ht="26.85" hidden="false" customHeight="false" outlineLevel="0" collapsed="false">
      <c r="A23" s="15" t="s">
        <v>266</v>
      </c>
      <c r="B23" s="16" t="s">
        <v>301</v>
      </c>
      <c r="C23" s="16" t="s">
        <v>302</v>
      </c>
    </row>
    <row r="24" customFormat="false" ht="26.85" hidden="false" customHeight="false" outlineLevel="0" collapsed="false">
      <c r="A24" s="15" t="s">
        <v>303</v>
      </c>
      <c r="B24" s="16" t="s">
        <v>304</v>
      </c>
      <c r="C24" s="16" t="s">
        <v>305</v>
      </c>
    </row>
    <row r="25" customFormat="false" ht="26.85" hidden="false" customHeight="false" outlineLevel="0" collapsed="false">
      <c r="A25" s="15" t="s">
        <v>306</v>
      </c>
      <c r="B25" s="16" t="s">
        <v>307</v>
      </c>
      <c r="C25" s="16" t="s">
        <v>308</v>
      </c>
    </row>
    <row r="26" customFormat="false" ht="15" hidden="false" customHeight="false" outlineLevel="0" collapsed="false">
      <c r="A26" s="15" t="s">
        <v>309</v>
      </c>
      <c r="B26" s="16" t="s">
        <v>310</v>
      </c>
      <c r="C26" s="16" t="s">
        <v>311</v>
      </c>
    </row>
    <row r="27" customFormat="false" ht="15" hidden="false" customHeight="false" outlineLevel="0" collapsed="false">
      <c r="A27" s="15" t="s">
        <v>275</v>
      </c>
      <c r="B27" s="16" t="s">
        <v>312</v>
      </c>
      <c r="C27" s="16" t="s">
        <v>313</v>
      </c>
    </row>
    <row r="28" customFormat="false" ht="15" hidden="false" customHeight="false" outlineLevel="0" collapsed="false">
      <c r="A28" s="15" t="s">
        <v>281</v>
      </c>
      <c r="B28" s="16" t="s">
        <v>314</v>
      </c>
      <c r="C28" s="16" t="s">
        <v>315</v>
      </c>
    </row>
    <row r="29" customFormat="false" ht="15" hidden="false" customHeight="false" outlineLevel="0" collapsed="false">
      <c r="A29" s="15" t="s">
        <v>316</v>
      </c>
      <c r="B29" s="16" t="s">
        <v>317</v>
      </c>
      <c r="C29" s="16" t="s">
        <v>318</v>
      </c>
    </row>
    <row r="30" customFormat="false" ht="15" hidden="false" customHeight="false" outlineLevel="0" collapsed="false">
      <c r="A30" s="15" t="s">
        <v>287</v>
      </c>
      <c r="B30" s="16" t="s">
        <v>319</v>
      </c>
      <c r="C30" s="16" t="s">
        <v>232</v>
      </c>
    </row>
    <row r="31" customFormat="false" ht="15" hidden="false" customHeight="false" outlineLevel="0" collapsed="false">
      <c r="A31" s="15" t="s">
        <v>289</v>
      </c>
      <c r="B31" s="16" t="s">
        <v>320</v>
      </c>
      <c r="C31" s="16"/>
    </row>
    <row r="32" customFormat="false" ht="26.85" hidden="false" customHeight="false" outlineLevel="0" collapsed="false">
      <c r="A32" s="15" t="s">
        <v>291</v>
      </c>
      <c r="B32" s="16" t="s">
        <v>321</v>
      </c>
      <c r="C32" s="16" t="s">
        <v>322</v>
      </c>
    </row>
    <row r="33" customFormat="false" ht="26.85" hidden="false" customHeight="false" outlineLevel="0" collapsed="false">
      <c r="A33" s="15" t="s">
        <v>293</v>
      </c>
      <c r="B33" s="16" t="s">
        <v>323</v>
      </c>
      <c r="C33" s="16"/>
    </row>
    <row r="35" customFormat="false" ht="15" hidden="false" customHeight="false" outlineLevel="0" collapsed="false">
      <c r="A35" s="4" t="s">
        <v>324</v>
      </c>
      <c r="B35" s="4"/>
      <c r="C35" s="4"/>
    </row>
    <row r="36" customFormat="false" ht="15" hidden="false" customHeight="false" outlineLevel="0" collapsed="false">
      <c r="A36" s="3" t="s">
        <v>257</v>
      </c>
      <c r="B36" s="3" t="s">
        <v>258</v>
      </c>
      <c r="C36" s="3" t="s">
        <v>259</v>
      </c>
    </row>
    <row r="37" customFormat="false" ht="15" hidden="false" customHeight="false" outlineLevel="0" collapsed="false">
      <c r="A37" s="15" t="s">
        <v>298</v>
      </c>
      <c r="B37" s="16" t="s">
        <v>325</v>
      </c>
      <c r="C37" s="16" t="s">
        <v>326</v>
      </c>
    </row>
    <row r="38" customFormat="false" ht="15" hidden="false" customHeight="false" outlineLevel="0" collapsed="false">
      <c r="A38" s="15" t="s">
        <v>327</v>
      </c>
      <c r="B38" s="16" t="s">
        <v>328</v>
      </c>
      <c r="C38" s="16" t="s">
        <v>329</v>
      </c>
    </row>
    <row r="39" customFormat="false" ht="15" hidden="false" customHeight="false" outlineLevel="0" collapsed="false">
      <c r="A39" s="15" t="s">
        <v>330</v>
      </c>
      <c r="B39" s="16" t="s">
        <v>331</v>
      </c>
      <c r="C39" s="16"/>
    </row>
    <row r="40" customFormat="false" ht="15" hidden="false" customHeight="false" outlineLevel="0" collapsed="false">
      <c r="A40" s="15" t="s">
        <v>289</v>
      </c>
      <c r="B40" s="16" t="s">
        <v>332</v>
      </c>
      <c r="C40" s="16" t="s">
        <v>333</v>
      </c>
    </row>
    <row r="41" customFormat="false" ht="15" hidden="false" customHeight="false" outlineLevel="0" collapsed="false">
      <c r="A41" s="15" t="s">
        <v>291</v>
      </c>
      <c r="B41" s="16" t="s">
        <v>334</v>
      </c>
      <c r="C41" s="16"/>
    </row>
    <row r="42" customFormat="false" ht="15" hidden="false" customHeight="false" outlineLevel="0" collapsed="false">
      <c r="A42" s="15" t="s">
        <v>335</v>
      </c>
      <c r="B42" s="16" t="s">
        <v>336</v>
      </c>
      <c r="C4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337</v>
      </c>
    </row>
    <row r="3" customFormat="false" ht="15" hidden="false" customHeight="false" outlineLevel="0" collapsed="false">
      <c r="A3" s="3" t="s">
        <v>14</v>
      </c>
      <c r="B3" s="3" t="s">
        <v>338</v>
      </c>
      <c r="C3" s="3" t="s">
        <v>339</v>
      </c>
      <c r="D3" s="3" t="s">
        <v>340</v>
      </c>
      <c r="E3" s="3" t="s">
        <v>341</v>
      </c>
    </row>
    <row r="4" customFormat="false" ht="15" hidden="false" customHeight="false" outlineLevel="0" collapsed="false">
      <c r="A4" s="16" t="s">
        <v>342</v>
      </c>
      <c r="B4" s="16" t="s">
        <v>343</v>
      </c>
      <c r="C4" s="16" t="s">
        <v>344</v>
      </c>
      <c r="D4" s="16" t="s">
        <v>345</v>
      </c>
      <c r="E4" s="16" t="s">
        <v>346</v>
      </c>
    </row>
    <row r="5" customFormat="false" ht="26.85" hidden="false" customHeight="false" outlineLevel="0" collapsed="false">
      <c r="A5" s="16" t="s">
        <v>198</v>
      </c>
      <c r="B5" s="16" t="s">
        <v>347</v>
      </c>
      <c r="C5" s="16" t="s">
        <v>348</v>
      </c>
      <c r="D5" s="16" t="s">
        <v>349</v>
      </c>
      <c r="E5" s="16" t="s">
        <v>350</v>
      </c>
    </row>
    <row r="6" customFormat="false" ht="15" hidden="false" customHeight="false" outlineLevel="0" collapsed="false">
      <c r="A6" s="16" t="s">
        <v>351</v>
      </c>
      <c r="B6" s="16" t="s">
        <v>347</v>
      </c>
      <c r="C6" s="16" t="s">
        <v>352</v>
      </c>
      <c r="D6" s="16" t="s">
        <v>353</v>
      </c>
      <c r="E6" s="16" t="s">
        <v>354</v>
      </c>
    </row>
    <row r="7" customFormat="false" ht="15" hidden="false" customHeight="false" outlineLevel="0" collapsed="false">
      <c r="A7" s="16" t="s">
        <v>355</v>
      </c>
      <c r="B7" s="16" t="s">
        <v>347</v>
      </c>
      <c r="C7" s="16" t="s">
        <v>356</v>
      </c>
      <c r="D7" s="16" t="s">
        <v>357</v>
      </c>
      <c r="E7" s="16" t="s">
        <v>358</v>
      </c>
    </row>
    <row r="8" customFormat="false" ht="15" hidden="false" customHeight="false" outlineLevel="0" collapsed="false">
      <c r="A8" s="16" t="s">
        <v>359</v>
      </c>
      <c r="B8" s="16" t="s">
        <v>360</v>
      </c>
      <c r="C8" s="16" t="s">
        <v>361</v>
      </c>
      <c r="D8" s="16" t="s">
        <v>362</v>
      </c>
      <c r="E8" s="16" t="s">
        <v>363</v>
      </c>
    </row>
    <row r="9" customFormat="false" ht="15" hidden="false" customHeight="false" outlineLevel="0" collapsed="false">
      <c r="A9" s="16" t="s">
        <v>364</v>
      </c>
      <c r="B9" s="16" t="s">
        <v>89</v>
      </c>
      <c r="C9" s="16" t="s">
        <v>365</v>
      </c>
      <c r="D9" s="16" t="s">
        <v>366</v>
      </c>
      <c r="E9" s="16" t="s">
        <v>367</v>
      </c>
    </row>
    <row r="10" customFormat="false" ht="15" hidden="false" customHeight="false" outlineLevel="0" collapsed="false">
      <c r="A10" s="16" t="s">
        <v>368</v>
      </c>
      <c r="B10" s="16" t="s">
        <v>89</v>
      </c>
      <c r="C10" s="16" t="s">
        <v>369</v>
      </c>
      <c r="D10" s="16" t="s">
        <v>370</v>
      </c>
      <c r="E10" s="16" t="s">
        <v>371</v>
      </c>
    </row>
    <row r="11" customFormat="false" ht="15" hidden="false" customHeight="false" outlineLevel="0" collapsed="false">
      <c r="A11" s="16" t="s">
        <v>372</v>
      </c>
      <c r="B11" s="16" t="s">
        <v>347</v>
      </c>
      <c r="C11" s="16" t="s">
        <v>373</v>
      </c>
      <c r="D11" s="16" t="s">
        <v>374</v>
      </c>
      <c r="E11" s="16" t="s">
        <v>375</v>
      </c>
    </row>
    <row r="12" customFormat="false" ht="15" hidden="false" customHeight="false" outlineLevel="0" collapsed="false">
      <c r="A12" s="16" t="s">
        <v>376</v>
      </c>
      <c r="B12" s="16" t="s">
        <v>377</v>
      </c>
      <c r="C12" s="16" t="s">
        <v>378</v>
      </c>
      <c r="D12" s="16" t="s">
        <v>379</v>
      </c>
      <c r="E12" s="16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2026-10-02T18:08:51Z</dcterms:created>
  <dc:creator>openpyxl</dc:creator>
  <dc:description/>
  <dc:language>es-ES</dc:language>
  <cp:lastModifiedBy/>
  <dcterms:modified xsi:type="dcterms:W3CDTF">2026-10-02T18:08:52Z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