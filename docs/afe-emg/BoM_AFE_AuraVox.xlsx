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oM por modulo" sheetId="1" state="visible" r:id="rId1"/>
    <sheet xmlns:r="http://schemas.openxmlformats.org/officeDocument/2006/relationships" name="Resumen" sheetId="2" state="visible" r:id="rId2"/>
    <sheet xmlns:r="http://schemas.openxmlformats.org/officeDocument/2006/relationships" name="Requisitos IC" sheetId="3" state="visible" r:id="rId3"/>
    <sheet xmlns:r="http://schemas.openxmlformats.org/officeDocument/2006/relationships" name="Tiendas" sheetId="4" state="visible" r:id="rId4"/>
  </sheets>
  <definedNames>
    <definedName name="_xlnm._FilterDatabase" localSheetId="0" hidden="1">'BoM por modulo'!$A$4:$Q$70</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Arial"/>
      <b val="1"/>
      <sz val="12"/>
    </font>
    <font>
      <name val="Arial"/>
      <i val="1"/>
      <sz val="9"/>
    </font>
    <font>
      <name val="Arial"/>
      <b val="1"/>
      <color rgb="00FFFFFF"/>
    </font>
    <font>
      <name val="Arial"/>
      <b val="1"/>
    </font>
    <font>
      <name val="Arial"/>
      <color rgb="000000FF"/>
    </font>
    <font>
      <name val="Arial"/>
      <color theme="1"/>
    </font>
    <font>
      <name val="Arial"/>
    </font>
  </fonts>
  <fills count="5">
    <fill>
      <patternFill/>
    </fill>
    <fill>
      <patternFill patternType="gray125"/>
    </fill>
    <fill>
      <patternFill patternType="solid">
        <fgColor rgb="001F3A5F"/>
      </patternFill>
    </fill>
    <fill>
      <patternFill patternType="solid">
        <fgColor rgb="00D9E2F3"/>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3" borderId="1" pivotButton="0" quotePrefix="0" xfId="0"/>
    <xf numFmtId="0" fontId="6" fillId="0" borderId="1" applyAlignment="1" pivotButton="0" quotePrefix="0" xfId="0">
      <alignment vertical="top" wrapText="1"/>
    </xf>
    <xf numFmtId="0" fontId="5" fillId="4" borderId="1" applyAlignment="1" pivotButton="0" quotePrefix="0" xfId="0">
      <alignment vertical="top" wrapText="1"/>
    </xf>
    <xf numFmtId="164" fontId="5" fillId="4" borderId="1" applyAlignment="1" pivotButton="0" quotePrefix="0" xfId="0">
      <alignment vertical="top" wrapText="1"/>
    </xf>
    <xf numFmtId="164" fontId="6" fillId="0" borderId="1" applyAlignment="1" pivotButton="0" quotePrefix="0" xfId="0">
      <alignment vertical="top" wrapText="1"/>
    </xf>
    <xf numFmtId="0" fontId="4" fillId="0" borderId="0" pivotButton="0" quotePrefix="0" xfId="0"/>
    <xf numFmtId="164" fontId="4" fillId="0" borderId="0" pivotButton="0" quotePrefix="0" xfId="0"/>
    <xf numFmtId="0" fontId="7" fillId="0" borderId="1" pivotButton="0" quotePrefix="0" xfId="0"/>
    <xf numFmtId="164" fontId="7" fillId="0" borderId="1" pivotButton="0" quotePrefix="0" xfId="0"/>
    <xf numFmtId="0" fontId="4" fillId="0" borderId="1" pivotButton="0" quotePrefix="0" xfId="0"/>
    <xf numFmtId="164" fontId="4" fillId="0" borderId="1" pivotButton="0" quotePrefix="0" xfId="0"/>
    <xf numFmtId="0" fontId="4" fillId="0" borderId="1" applyAlignment="1" pivotButton="0" quotePrefix="0" xfId="0">
      <alignment vertical="top" wrapText="1"/>
    </xf>
    <xf numFmtId="0" fontId="7"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72"/>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26" customWidth="1" min="1" max="1"/>
    <col width="22" customWidth="1" min="2" max="2"/>
    <col width="38" customWidth="1" min="3" max="3"/>
    <col width="14" customWidth="1" min="4" max="4"/>
    <col width="22" customWidth="1" min="5" max="5"/>
    <col width="26" customWidth="1" min="6" max="6"/>
    <col width="9" customWidth="1" min="7" max="7"/>
    <col width="9" customWidth="1" min="8" max="8"/>
    <col width="9" customWidth="1" min="9" max="9"/>
    <col width="9" customWidth="1" min="10" max="10"/>
    <col width="10" customWidth="1" min="11" max="11"/>
    <col width="32" customWidth="1" min="12" max="12"/>
    <col width="18" customWidth="1" min="13" max="13"/>
    <col width="13" customWidth="1" min="14" max="14"/>
    <col width="14" customWidth="1" min="15" max="15"/>
    <col width="12" customWidth="1" min="16" max="16"/>
    <col width="60" customWidth="1" min="17" max="17"/>
  </cols>
  <sheetData>
    <row r="1">
      <c r="A1" s="1" t="inlineStr">
        <is>
          <t>BoM AFE sEMG AuraVox: 3 canales (submentoniano, labio inferior, laringe), 7 electrodos, RLD. Ordenada por modulo, igual que los recuadros del esquematico LTspice (sim/ltspice).</t>
        </is>
      </c>
    </row>
    <row r="2">
      <c r="A2" s="2" t="inlineStr">
        <is>
          <t>Celdas amarillas = las llenas tu (tienda, precio, estado). SEGURIDAD: con electrodos puestos alimentar el DK con powerbank o PC a bateria, nunca con un cargador de pared.</t>
        </is>
      </c>
    </row>
    <row r="4">
      <c r="A4" s="3" t="inlineStr">
        <is>
          <t>Modulo</t>
        </is>
      </c>
      <c r="B4" s="3" t="inlineStr">
        <is>
          <t>Ref. en esquematico</t>
        </is>
      </c>
      <c r="C4" s="3" t="inlineStr">
        <is>
          <t>Componente</t>
        </is>
      </c>
      <c r="D4" s="3" t="inlineStr">
        <is>
          <t>Valor de diseno</t>
        </is>
      </c>
      <c r="E4" s="3" t="inlineStr">
        <is>
          <t>Valor a comprar</t>
        </is>
      </c>
      <c r="F4" s="3" t="inlineStr">
        <is>
          <t>Tipo / tolerancia</t>
        </is>
      </c>
      <c r="G4" s="3" t="inlineStr">
        <is>
          <t>Cant. por canal</t>
        </is>
      </c>
      <c r="H4" s="3" t="inlineStr">
        <is>
          <t>N canales</t>
        </is>
      </c>
      <c r="I4" s="3" t="inlineStr">
        <is>
          <t>Cant. total</t>
        </is>
      </c>
      <c r="J4" s="3" t="inlineStr">
        <is>
          <t>Repuesto</t>
        </is>
      </c>
      <c r="K4" s="3" t="inlineStr">
        <is>
          <t>A comprar</t>
        </is>
      </c>
      <c r="L4" s="3" t="inlineStr">
        <is>
          <t>Buscar como</t>
        </is>
      </c>
      <c r="M4" s="3" t="inlineStr">
        <is>
          <t>Tienda</t>
        </is>
      </c>
      <c r="N4" s="3" t="inlineStr">
        <is>
          <t>Precio unit. (CLP)</t>
        </is>
      </c>
      <c r="O4" s="3" t="inlineStr">
        <is>
          <t>Subtotal (CLP)</t>
        </is>
      </c>
      <c r="P4" s="3" t="inlineStr">
        <is>
          <t>Estado</t>
        </is>
      </c>
      <c r="Q4" s="3" t="inlineStr">
        <is>
          <t>Notas</t>
        </is>
      </c>
    </row>
    <row r="5">
      <c r="A5" s="4" t="inlineStr">
        <is>
          <t>1 PROTECCION ESD</t>
        </is>
      </c>
      <c r="B5" s="4" t="n"/>
      <c r="C5" s="4" t="inlineStr">
        <is>
          <t>por canal (x3)</t>
        </is>
      </c>
      <c r="D5" s="4" t="n"/>
      <c r="E5" s="4" t="n"/>
      <c r="F5" s="4" t="n"/>
      <c r="G5" s="4" t="n"/>
      <c r="H5" s="4" t="n"/>
      <c r="I5" s="4" t="n"/>
      <c r="J5" s="4" t="n"/>
      <c r="K5" s="4" t="n"/>
      <c r="L5" s="4" t="n"/>
      <c r="M5" s="4" t="n"/>
      <c r="N5" s="4" t="n"/>
      <c r="O5" s="4" t="n"/>
      <c r="P5" s="4" t="n"/>
      <c r="Q5" s="4" t="n"/>
    </row>
    <row r="6">
      <c r="A6" s="5" t="inlineStr">
        <is>
          <t>1 PROTECCION ESD</t>
        </is>
      </c>
      <c r="B6" s="5" t="inlineStr">
        <is>
          <t>Rsp, Rsn</t>
        </is>
      </c>
      <c r="C6" s="5" t="inlineStr">
        <is>
          <t>Resistencia serie de entrada</t>
        </is>
      </c>
      <c r="D6" s="5" t="inlineStr">
        <is>
          <t>100k</t>
        </is>
      </c>
      <c r="E6" s="5" t="inlineStr">
        <is>
          <t>100k</t>
        </is>
      </c>
      <c r="F6" s="5" t="inlineStr">
        <is>
          <t>pelicula metalica 1 % 1/4 W</t>
        </is>
      </c>
      <c r="G6" s="5" t="n">
        <v>2</v>
      </c>
      <c r="H6" s="5" t="n">
        <v>3</v>
      </c>
      <c r="I6" s="5">
        <f>G6*H6</f>
        <v/>
      </c>
      <c r="J6" s="5" t="n">
        <v>2</v>
      </c>
      <c r="K6" s="5">
        <f>I6+J6</f>
        <v/>
      </c>
      <c r="L6" s="5" t="inlineStr">
        <is>
          <t>resistencia 100k 1% 1/4W</t>
        </is>
      </c>
      <c r="M6" s="6" t="n"/>
      <c r="N6" s="7" t="n"/>
      <c r="O6" s="8">
        <f>IF(N6="","",K6*N6)</f>
        <v/>
      </c>
      <c r="P6" s="6" t="inlineStr">
        <is>
          <t>Pendiente</t>
        </is>
      </c>
      <c r="Q6" s="5" t="inlineStr">
        <is>
          <t>Limita la corriente de falla hacia el paciente y hacia el INA</t>
        </is>
      </c>
    </row>
    <row r="7">
      <c r="A7" s="5" t="inlineStr">
        <is>
          <t>1 PROTECCION ESD</t>
        </is>
      </c>
      <c r="B7" s="5" t="inlineStr">
        <is>
          <t>Dp1, Dp2, Dn1, Dn2</t>
        </is>
      </c>
      <c r="C7" s="5" t="inlineStr">
        <is>
          <t>Diodo de clamp a VCC y GND</t>
        </is>
      </c>
      <c r="D7" s="5" t="inlineStr">
        <is>
          <t>1N4148</t>
        </is>
      </c>
      <c r="E7" s="5" t="inlineStr">
        <is>
          <t>1N4148</t>
        </is>
      </c>
      <c r="F7" s="5" t="inlineStr">
        <is>
          <t>diodo de senal</t>
        </is>
      </c>
      <c r="G7" s="5" t="n">
        <v>4</v>
      </c>
      <c r="H7" s="5" t="n">
        <v>3</v>
      </c>
      <c r="I7" s="5">
        <f>G7*H7</f>
        <v/>
      </c>
      <c r="J7" s="5" t="n">
        <v>4</v>
      </c>
      <c r="K7" s="5">
        <f>I7+J7</f>
        <v/>
      </c>
      <c r="L7" s="5" t="inlineStr">
        <is>
          <t>1N4148</t>
        </is>
      </c>
      <c r="M7" s="6" t="n"/>
      <c r="N7" s="7" t="n"/>
      <c r="O7" s="8">
        <f>IF(N7="","",K7*N7)</f>
        <v/>
      </c>
      <c r="P7" s="6" t="inlineStr">
        <is>
          <t>Pendiente</t>
        </is>
      </c>
      <c r="Q7" s="5" t="inlineStr">
        <is>
          <t>4 por canal x 4 = 16 (+4 repuesto = 20). Protegen el INA de descargas</t>
        </is>
      </c>
    </row>
    <row r="8">
      <c r="A8" s="4" t="inlineStr">
        <is>
          <t>2 FILTRO RFI</t>
        </is>
      </c>
      <c r="B8" s="4" t="n"/>
      <c r="C8" s="4" t="inlineStr">
        <is>
          <t>por canal (x3)</t>
        </is>
      </c>
      <c r="D8" s="4" t="n"/>
      <c r="E8" s="4" t="n"/>
      <c r="F8" s="4" t="n"/>
      <c r="G8" s="4" t="n"/>
      <c r="H8" s="4" t="n"/>
      <c r="I8" s="4" t="n"/>
      <c r="J8" s="4" t="n"/>
      <c r="K8" s="4" t="n"/>
      <c r="L8" s="4" t="n"/>
      <c r="M8" s="4" t="n"/>
      <c r="N8" s="4" t="n"/>
      <c r="O8" s="4" t="n"/>
      <c r="P8" s="4" t="n"/>
      <c r="Q8" s="4" t="n"/>
    </row>
    <row r="9">
      <c r="A9" s="5" t="inlineStr">
        <is>
          <t>2 FILTRO RFI</t>
        </is>
      </c>
      <c r="B9" s="5" t="inlineStr">
        <is>
          <t>Rfp, Rfn</t>
        </is>
      </c>
      <c r="C9" s="5" t="inlineStr">
        <is>
          <t>Resistencia del filtro RFI</t>
        </is>
      </c>
      <c r="D9" s="5" t="inlineStr">
        <is>
          <t>1k</t>
        </is>
      </c>
      <c r="E9" s="5" t="inlineStr">
        <is>
          <t>1k</t>
        </is>
      </c>
      <c r="F9" s="5" t="inlineStr">
        <is>
          <t>pelicula metalica 1 %</t>
        </is>
      </c>
      <c r="G9" s="5" t="n">
        <v>2</v>
      </c>
      <c r="H9" s="5" t="n">
        <v>3</v>
      </c>
      <c r="I9" s="5">
        <f>G9*H9</f>
        <v/>
      </c>
      <c r="J9" s="5" t="n">
        <v>2</v>
      </c>
      <c r="K9" s="5">
        <f>I9+J9</f>
        <v/>
      </c>
      <c r="L9" s="5" t="inlineStr">
        <is>
          <t>resistencia 1k 1%</t>
        </is>
      </c>
      <c r="M9" s="6" t="n"/>
      <c r="N9" s="7" t="n"/>
      <c r="O9" s="8">
        <f>IF(N9="","",K9*N9)</f>
        <v/>
      </c>
      <c r="P9" s="6" t="inlineStr">
        <is>
          <t>Pendiente</t>
        </is>
      </c>
      <c r="Q9" s="5" t="inlineStr"/>
    </row>
    <row r="10">
      <c r="A10" s="5" t="inlineStr">
        <is>
          <t>2 FILTRO RFI</t>
        </is>
      </c>
      <c r="B10" s="5" t="inlineStr">
        <is>
          <t>Ccmp, Ccmn</t>
        </is>
      </c>
      <c r="C10" s="5" t="inlineStr">
        <is>
          <t>Condensador de modo comun</t>
        </is>
      </c>
      <c r="D10" s="5" t="inlineStr">
        <is>
          <t>47p</t>
        </is>
      </c>
      <c r="E10" s="5" t="inlineStr">
        <is>
          <t>47p</t>
        </is>
      </c>
      <c r="F10" s="5" t="inlineStr">
        <is>
          <t>ceramico C0G/NP0 5 %</t>
        </is>
      </c>
      <c r="G10" s="5" t="n">
        <v>2</v>
      </c>
      <c r="H10" s="5" t="n">
        <v>3</v>
      </c>
      <c r="I10" s="5">
        <f>G10*H10</f>
        <v/>
      </c>
      <c r="J10" s="5" t="n">
        <v>2</v>
      </c>
      <c r="K10" s="5">
        <f>I10+J10</f>
        <v/>
      </c>
      <c r="L10" s="5" t="inlineStr">
        <is>
          <t>condensador ceramico 47pF NP0</t>
        </is>
      </c>
      <c r="M10" s="6" t="n"/>
      <c r="N10" s="7" t="n"/>
      <c r="O10" s="8">
        <f>IF(N10="","",K10*N10)</f>
        <v/>
      </c>
      <c r="P10" s="6" t="inlineStr">
        <is>
          <t>Pendiente</t>
        </is>
      </c>
      <c r="Q10" s="5" t="inlineStr">
        <is>
          <t>Si la simulacion final elige 330k sin Ccm, no se usan</t>
        </is>
      </c>
    </row>
    <row r="11">
      <c r="A11" s="5" t="inlineStr">
        <is>
          <t>2 FILTRO RFI</t>
        </is>
      </c>
      <c r="B11" s="5" t="inlineStr">
        <is>
          <t>Cdif</t>
        </is>
      </c>
      <c r="C11" s="5" t="inlineStr">
        <is>
          <t>Condensador diferencial</t>
        </is>
      </c>
      <c r="D11" s="5" t="inlineStr">
        <is>
          <t>100p</t>
        </is>
      </c>
      <c r="E11" s="5" t="inlineStr">
        <is>
          <t>100p</t>
        </is>
      </c>
      <c r="F11" s="5" t="inlineStr">
        <is>
          <t>ceramico C0G/NP0 5 %</t>
        </is>
      </c>
      <c r="G11" s="5" t="n">
        <v>1</v>
      </c>
      <c r="H11" s="5" t="n">
        <v>3</v>
      </c>
      <c r="I11" s="5">
        <f>G11*H11</f>
        <v/>
      </c>
      <c r="J11" s="5" t="n">
        <v>1</v>
      </c>
      <c r="K11" s="5">
        <f>I11+J11</f>
        <v/>
      </c>
      <c r="L11" s="5" t="inlineStr">
        <is>
          <t>condensador ceramico 100pF NP0</t>
        </is>
      </c>
      <c r="M11" s="6" t="n"/>
      <c r="N11" s="7" t="n"/>
      <c r="O11" s="8">
        <f>IF(N11="","",K11*N11)</f>
        <v/>
      </c>
      <c r="P11" s="6" t="inlineStr">
        <is>
          <t>Pendiente</t>
        </is>
      </c>
      <c r="Q11" s="5" t="inlineStr"/>
    </row>
    <row r="12">
      <c r="A12" s="4" t="inlineStr">
        <is>
          <t>3 AMPLIFICADOR DE INSTRUMENTACION</t>
        </is>
      </c>
      <c r="B12" s="4" t="n"/>
      <c r="C12" s="4" t="inlineStr">
        <is>
          <t>por canal (x3)</t>
        </is>
      </c>
      <c r="D12" s="4" t="n"/>
      <c r="E12" s="4" t="n"/>
      <c r="F12" s="4" t="n"/>
      <c r="G12" s="4" t="n"/>
      <c r="H12" s="4" t="n"/>
      <c r="I12" s="4" t="n"/>
      <c r="J12" s="4" t="n"/>
      <c r="K12" s="4" t="n"/>
      <c r="L12" s="4" t="n"/>
      <c r="M12" s="4" t="n"/>
      <c r="N12" s="4" t="n"/>
      <c r="O12" s="4" t="n"/>
      <c r="P12" s="4" t="n"/>
      <c r="Q12" s="4" t="n"/>
    </row>
    <row r="13">
      <c r="A13" s="5" t="inlineStr">
        <is>
          <t>3 AMPLIFICADOR DE INSTRUMENTACION</t>
        </is>
      </c>
      <c r="B13" s="5" t="inlineStr">
        <is>
          <t>XINA</t>
        </is>
      </c>
      <c r="C13" s="5" t="inlineStr">
        <is>
          <t>INA333 (modulo MCU-333)</t>
        </is>
      </c>
      <c r="D13" s="5" t="inlineStr">
        <is>
          <t>INA333</t>
        </is>
      </c>
      <c r="E13" s="5" t="inlineStr">
        <is>
          <t>INA333 modulo MCU-333</t>
        </is>
      </c>
      <c r="F13" s="5" t="inlineStr">
        <is>
          <t>modulo; RG: quitar potenciometro</t>
        </is>
      </c>
      <c r="G13" s="5" t="n">
        <v>1</v>
      </c>
      <c r="H13" s="5" t="n">
        <v>3</v>
      </c>
      <c r="I13" s="5">
        <f>G13*H13</f>
        <v/>
      </c>
      <c r="J13" s="5" t="n">
        <v>1</v>
      </c>
      <c r="K13" s="5">
        <f>I13+J13</f>
        <v/>
      </c>
      <c r="L13" s="5" t="inlineStr">
        <is>
          <t>modulo MCU-333 INA333</t>
        </is>
      </c>
      <c r="M13" s="6" t="inlineStr">
        <is>
          <t>MechatronicStore</t>
        </is>
      </c>
      <c r="N13" s="7" t="n">
        <v>6790</v>
      </c>
      <c r="O13" s="8">
        <f>IF(N13="","",K13*N13)</f>
        <v/>
      </c>
      <c r="P13" s="6" t="inlineStr">
        <is>
          <t>Pendiente</t>
        </is>
      </c>
      <c r="Q13" s="5" t="inlineStr">
        <is>
          <t>Desoldar el trimmer de RG y poner RGa+RGb (2.7k+2.7k) con cable del punto medio al RLD. Alimentar por el pin 3.3V (no VCC) y llevar el pin VREF a tu VREF con buffer. Verificar pines con multimetro. Respaldo: AD623AN DIP-8</t>
        </is>
      </c>
    </row>
    <row r="14">
      <c r="A14" s="5" t="inlineStr">
        <is>
          <t>3 AMPLIFICADOR DE INSTRUMENTACION</t>
        </is>
      </c>
      <c r="B14" s="5" t="inlineStr">
        <is>
          <t>RGa, RGb</t>
        </is>
      </c>
      <c r="C14" s="5" t="inlineStr">
        <is>
          <t>Resistencia de ganancia (partida en dos)</t>
        </is>
      </c>
      <c r="D14" s="5" t="inlineStr">
        <is>
          <t>2.61k</t>
        </is>
      </c>
      <c r="E14" s="5" t="inlineStr">
        <is>
          <t>2.7k</t>
        </is>
      </c>
      <c r="F14" s="5" t="inlineStr">
        <is>
          <t>pelicula metalica 1 %, parear con multimetro</t>
        </is>
      </c>
      <c r="G14" s="5" t="n">
        <v>2</v>
      </c>
      <c r="H14" s="5" t="n">
        <v>3</v>
      </c>
      <c r="I14" s="5">
        <f>G14*H14</f>
        <v/>
      </c>
      <c r="J14" s="5" t="n">
        <v>4</v>
      </c>
      <c r="K14" s="5">
        <f>I14+J14</f>
        <v/>
      </c>
      <c r="L14" s="5" t="inlineStr">
        <is>
          <t>resistencia 2.7k 1%</t>
        </is>
      </c>
      <c r="M14" s="6" t="n"/>
      <c r="N14" s="7" t="n"/>
      <c r="O14" s="8">
        <f>IF(N14="","",K14*N14)</f>
        <v/>
      </c>
      <c r="P14" s="6" t="inlineStr">
        <is>
          <t>Pendiente</t>
        </is>
      </c>
      <c r="Q14" s="5" t="inlineStr">
        <is>
          <t>Con 2 x 2.7k: G1 = 19.5 (diseno 20.16). El punto medio va al RLD</t>
        </is>
      </c>
    </row>
    <row r="15">
      <c r="A15" s="5" t="inlineStr">
        <is>
          <t>3 AMPLIFICADOR DE INSTRUMENTACION</t>
        </is>
      </c>
      <c r="B15" s="5" t="inlineStr">
        <is>
          <t>C desac. INA</t>
        </is>
      </c>
      <c r="C15" s="5" t="inlineStr">
        <is>
          <t>Desacople del INA</t>
        </is>
      </c>
      <c r="D15" s="5" t="inlineStr">
        <is>
          <t>100n</t>
        </is>
      </c>
      <c r="E15" s="5" t="inlineStr">
        <is>
          <t>100n</t>
        </is>
      </c>
      <c r="F15" s="5" t="inlineStr">
        <is>
          <t>ceramico X7R</t>
        </is>
      </c>
      <c r="G15" s="5" t="n">
        <v>1</v>
      </c>
      <c r="H15" s="5" t="n">
        <v>3</v>
      </c>
      <c r="I15" s="5">
        <f>G15*H15</f>
        <v/>
      </c>
      <c r="J15" s="5" t="n">
        <v>1</v>
      </c>
      <c r="K15" s="5">
        <f>I15+J15</f>
        <v/>
      </c>
      <c r="L15" s="5" t="inlineStr">
        <is>
          <t>condensador ceramico 100nF</t>
        </is>
      </c>
      <c r="M15" s="6" t="n"/>
      <c r="N15" s="7" t="n"/>
      <c r="O15" s="8">
        <f>IF(N15="","",K15*N15)</f>
        <v/>
      </c>
      <c r="P15" s="6" t="inlineStr">
        <is>
          <t>Pendiente</t>
        </is>
      </c>
      <c r="Q15" s="5" t="inlineStr">
        <is>
          <t>Pegado al pin de alimentacion</t>
        </is>
      </c>
    </row>
    <row r="16">
      <c r="A16" s="4" t="inlineStr">
        <is>
          <t>4 HPF 20 Hz (Sallen-Key)</t>
        </is>
      </c>
      <c r="B16" s="4" t="n"/>
      <c r="C16" s="4" t="inlineStr">
        <is>
          <t>por canal (x3)</t>
        </is>
      </c>
      <c r="D16" s="4" t="n"/>
      <c r="E16" s="4" t="n"/>
      <c r="F16" s="4" t="n"/>
      <c r="G16" s="4" t="n"/>
      <c r="H16" s="4" t="n"/>
      <c r="I16" s="4" t="n"/>
      <c r="J16" s="4" t="n"/>
      <c r="K16" s="4" t="n"/>
      <c r="L16" s="4" t="n"/>
      <c r="M16" s="4" t="n"/>
      <c r="N16" s="4" t="n"/>
      <c r="O16" s="4" t="n"/>
      <c r="P16" s="4" t="n"/>
      <c r="Q16" s="4" t="n"/>
    </row>
    <row r="17">
      <c r="A17" s="5" t="inlineStr">
        <is>
          <t>4 HPF 20 Hz (Sallen-Key)</t>
        </is>
      </c>
      <c r="B17" s="5" t="inlineStr">
        <is>
          <t>Chp1, Chp2</t>
        </is>
      </c>
      <c r="C17" s="5" t="inlineStr">
        <is>
          <t>Condensador del HPF</t>
        </is>
      </c>
      <c r="D17" s="5" t="inlineStr">
        <is>
          <t>100n</t>
        </is>
      </c>
      <c r="E17" s="5" t="inlineStr">
        <is>
          <t>100n</t>
        </is>
      </c>
      <c r="F17" s="5" t="inlineStr">
        <is>
          <t>poliester/MKT (film) 5 %</t>
        </is>
      </c>
      <c r="G17" s="5" t="n">
        <v>2</v>
      </c>
      <c r="H17" s="5" t="n">
        <v>3</v>
      </c>
      <c r="I17" s="5">
        <f>G17*H17</f>
        <v/>
      </c>
      <c r="J17" s="5" t="n">
        <v>2</v>
      </c>
      <c r="K17" s="5">
        <f>I17+J17</f>
        <v/>
      </c>
      <c r="L17" s="5" t="inlineStr">
        <is>
          <t>condensador poliester 100nF 5%</t>
        </is>
      </c>
      <c r="M17" s="6" t="n"/>
      <c r="N17" s="7" t="n"/>
      <c r="O17" s="8">
        <f>IF(N17="","",K17*N17)</f>
        <v/>
      </c>
      <c r="P17" s="6" t="inlineStr">
        <is>
          <t>Pendiente</t>
        </is>
      </c>
      <c r="Q17" s="5" t="inlineStr">
        <is>
          <t>Film, no ceramico: estabilidad y bajo ruido</t>
        </is>
      </c>
    </row>
    <row r="18">
      <c r="A18" s="5" t="inlineStr">
        <is>
          <t>4 HPF 20 Hz (Sallen-Key)</t>
        </is>
      </c>
      <c r="B18" s="5" t="inlineStr">
        <is>
          <t>R1</t>
        </is>
      </c>
      <c r="C18" s="5" t="inlineStr">
        <is>
          <t>Resistencia de realimentacion</t>
        </is>
      </c>
      <c r="D18" s="5" t="inlineStr">
        <is>
          <t>56.2k</t>
        </is>
      </c>
      <c r="E18" s="5" t="inlineStr">
        <is>
          <t>56k</t>
        </is>
      </c>
      <c r="F18" s="5" t="inlineStr">
        <is>
          <t>pelicula metalica 1 %</t>
        </is>
      </c>
      <c r="G18" s="5" t="n">
        <v>1</v>
      </c>
      <c r="H18" s="5" t="n">
        <v>3</v>
      </c>
      <c r="I18" s="5">
        <f>G18*H18</f>
        <v/>
      </c>
      <c r="J18" s="5" t="n">
        <v>1</v>
      </c>
      <c r="K18" s="5">
        <f>I18+J18</f>
        <v/>
      </c>
      <c r="L18" s="5" t="inlineStr">
        <is>
          <t>resistencia 56k 1%</t>
        </is>
      </c>
      <c r="M18" s="6" t="n"/>
      <c r="N18" s="7" t="n"/>
      <c r="O18" s="8">
        <f>IF(N18="","",K18*N18)</f>
        <v/>
      </c>
      <c r="P18" s="6" t="inlineStr">
        <is>
          <t>Pendiente</t>
        </is>
      </c>
      <c r="Q18" s="5" t="inlineStr">
        <is>
          <t>Con 56k/110k: f0 = 20.3 Hz, Q = 0.70</t>
        </is>
      </c>
    </row>
    <row r="19">
      <c r="A19" s="5" t="inlineStr">
        <is>
          <t>4 HPF 20 Hz (Sallen-Key)</t>
        </is>
      </c>
      <c r="B19" s="5" t="inlineStr">
        <is>
          <t>Ra</t>
        </is>
      </c>
      <c r="C19" s="5" t="inlineStr">
        <is>
          <t>Resistencia a VREF</t>
        </is>
      </c>
      <c r="D19" s="5" t="inlineStr">
        <is>
          <t>113k</t>
        </is>
      </c>
      <c r="E19" s="5" t="inlineStr">
        <is>
          <t>110k</t>
        </is>
      </c>
      <c r="F19" s="5" t="inlineStr">
        <is>
          <t>pelicula metalica 1 %</t>
        </is>
      </c>
      <c r="G19" s="5" t="n">
        <v>1</v>
      </c>
      <c r="H19" s="5" t="n">
        <v>3</v>
      </c>
      <c r="I19" s="5">
        <f>G19*H19</f>
        <v/>
      </c>
      <c r="J19" s="5" t="n">
        <v>1</v>
      </c>
      <c r="K19" s="5">
        <f>I19+J19</f>
        <v/>
      </c>
      <c r="L19" s="5" t="inlineStr">
        <is>
          <t>resistencia 110k 1%</t>
        </is>
      </c>
      <c r="M19" s="6" t="n"/>
      <c r="N19" s="7" t="n"/>
      <c r="O19" s="8">
        <f>IF(N19="","",K19*N19)</f>
        <v/>
      </c>
      <c r="P19" s="6" t="inlineStr">
        <is>
          <t>Pendiente</t>
        </is>
      </c>
      <c r="Q19" s="5" t="inlineStr"/>
    </row>
    <row r="20">
      <c r="A20" s="5" t="inlineStr">
        <is>
          <t>4 HPF 20 Hz (Sallen-Key)</t>
        </is>
      </c>
      <c r="B20" s="5" t="inlineStr">
        <is>
          <t>XHP</t>
        </is>
      </c>
      <c r="C20" s="5" t="inlineStr">
        <is>
          <t>seccion de op-amp</t>
        </is>
      </c>
      <c r="D20" s="5" t="inlineStr">
        <is>
          <t>-</t>
        </is>
      </c>
      <c r="E20" s="5" t="inlineStr">
        <is>
          <t>-</t>
        </is>
      </c>
      <c r="F20" s="5" t="inlineStr">
        <is>
          <t>-</t>
        </is>
      </c>
      <c r="G20" s="5" t="n"/>
      <c r="H20" s="5" t="n"/>
      <c r="I20" s="5" t="n"/>
      <c r="J20" s="5" t="n"/>
      <c r="K20" s="5" t="n"/>
      <c r="L20" s="5" t="inlineStr"/>
      <c r="M20" s="5" t="n"/>
      <c r="N20" s="8" t="n"/>
      <c r="O20" s="8" t="n"/>
      <c r="P20" s="5" t="n"/>
      <c r="Q20" s="5" t="inlineStr">
        <is>
          <t>Contada en el modulo 10 OP-AMPS</t>
        </is>
      </c>
    </row>
    <row r="21">
      <c r="A21" s="4" t="inlineStr">
        <is>
          <t>5 G2 + LPF A: MFB 500 Hz x125 (Q 0.54)</t>
        </is>
      </c>
      <c r="B21" s="4" t="n"/>
      <c r="C21" s="4" t="inlineStr">
        <is>
          <t>por canal (x3)</t>
        </is>
      </c>
      <c r="D21" s="4" t="n"/>
      <c r="E21" s="4" t="n"/>
      <c r="F21" s="4" t="n"/>
      <c r="G21" s="4" t="n"/>
      <c r="H21" s="4" t="n"/>
      <c r="I21" s="4" t="n"/>
      <c r="J21" s="4" t="n"/>
      <c r="K21" s="4" t="n"/>
      <c r="L21" s="4" t="n"/>
      <c r="M21" s="4" t="n"/>
      <c r="N21" s="4" t="n"/>
      <c r="O21" s="4" t="n"/>
      <c r="P21" s="4" t="n"/>
      <c r="Q21" s="4" t="n"/>
    </row>
    <row r="22">
      <c r="A22" s="5" t="inlineStr">
        <is>
          <t>5 G2 + LPF A: MFB 500 Hz x125 (Q 0.54)</t>
        </is>
      </c>
      <c r="B22" s="5" t="inlineStr">
        <is>
          <t>Cm0</t>
        </is>
      </c>
      <c r="C22" s="5" t="inlineStr">
        <is>
          <t>Condensador de bloqueo DC a la entrada del MFB</t>
        </is>
      </c>
      <c r="D22" s="5" t="inlineStr">
        <is>
          <t>10u</t>
        </is>
      </c>
      <c r="E22" s="5" t="inlineStr">
        <is>
          <t>10u</t>
        </is>
      </c>
      <c r="F22" s="5" t="inlineStr">
        <is>
          <t>ceramico X7R o electrolitico 16 V</t>
        </is>
      </c>
      <c r="G22" s="5" t="n">
        <v>1</v>
      </c>
      <c r="H22" s="5" t="n">
        <v>3</v>
      </c>
      <c r="I22" s="5">
        <f>G22*H22</f>
        <v/>
      </c>
      <c r="J22" s="5" t="n">
        <v>1</v>
      </c>
      <c r="K22" s="5">
        <f>I22+J22</f>
        <v/>
      </c>
      <c r="L22" s="5" t="inlineStr">
        <is>
          <t>condensador 10uF</t>
        </is>
      </c>
      <c r="M22" s="6" t="n"/>
      <c r="N22" s="7" t="n"/>
      <c r="O22" s="8">
        <f>IF(N22="","",K22*N22)</f>
        <v/>
      </c>
      <c r="P22" s="6" t="inlineStr">
        <is>
          <t>Pendiente</t>
        </is>
      </c>
      <c r="Q22" s="5" t="inlineStr">
        <is>
          <t>Sin el, la corriente de polarizacion del TS922 por Ra (110k) x 25 deja +0.3 V de offset</t>
        </is>
      </c>
    </row>
    <row r="23">
      <c r="A23" s="5" t="inlineStr">
        <is>
          <t>5 G2 + LPF A: MFB 500 Hz x125 (Q 0.54)</t>
        </is>
      </c>
      <c r="B23" s="5" t="inlineStr">
        <is>
          <t>Rm1</t>
        </is>
      </c>
      <c r="C23" s="5" t="inlineStr">
        <is>
          <t>Resistencia de entrada (fija la ganancia)</t>
        </is>
      </c>
      <c r="D23" s="5" t="inlineStr">
        <is>
          <t>2.4k</t>
        </is>
      </c>
      <c r="E23" s="5" t="inlineStr">
        <is>
          <t>2.4k</t>
        </is>
      </c>
      <c r="F23" s="5" t="inlineStr">
        <is>
          <t>pelicula metalica 1 %</t>
        </is>
      </c>
      <c r="G23" s="5" t="n">
        <v>1</v>
      </c>
      <c r="H23" s="5" t="n">
        <v>3</v>
      </c>
      <c r="I23" s="5">
        <f>G23*H23</f>
        <v/>
      </c>
      <c r="J23" s="5" t="n">
        <v>1</v>
      </c>
      <c r="K23" s="5">
        <f>I23+J23</f>
        <v/>
      </c>
      <c r="L23" s="5" t="inlineStr">
        <is>
          <t>resistencia 2.4k 1%</t>
        </is>
      </c>
      <c r="M23" s="6" t="n"/>
      <c r="N23" s="7" t="n"/>
      <c r="O23" s="8">
        <f>IF(N23="","",K23*N23)</f>
        <v/>
      </c>
      <c r="P23" s="6" t="inlineStr">
        <is>
          <t>Pendiente</t>
        </is>
      </c>
      <c r="Q23" s="5" t="inlineStr">
        <is>
          <t>Ganancia = Rm2/Rm1 = 125 (total 2500). No poner trimmer aqui: cambia el Q del filtro</t>
        </is>
      </c>
    </row>
    <row r="24">
      <c r="A24" s="5" t="inlineStr">
        <is>
          <t>5 G2 + LPF A: MFB 500 Hz x125 (Q 0.54)</t>
        </is>
      </c>
      <c r="B24" s="5" t="inlineStr">
        <is>
          <t>Rm2</t>
        </is>
      </c>
      <c r="C24" s="5" t="inlineStr">
        <is>
          <t>Resistencia de realimentacion</t>
        </is>
      </c>
      <c r="D24" s="5" t="inlineStr">
        <is>
          <t>300k</t>
        </is>
      </c>
      <c r="E24" s="5" t="inlineStr">
        <is>
          <t>300k</t>
        </is>
      </c>
      <c r="F24" s="5" t="inlineStr">
        <is>
          <t>pelicula metalica 1 %</t>
        </is>
      </c>
      <c r="G24" s="5" t="n">
        <v>1</v>
      </c>
      <c r="H24" s="5" t="n">
        <v>3</v>
      </c>
      <c r="I24" s="5">
        <f>G24*H24</f>
        <v/>
      </c>
      <c r="J24" s="5" t="n">
        <v>1</v>
      </c>
      <c r="K24" s="5">
        <f>I24+J24</f>
        <v/>
      </c>
      <c r="L24" s="5" t="inlineStr">
        <is>
          <t>resistencia 300k 1%</t>
        </is>
      </c>
      <c r="M24" s="6" t="n"/>
      <c r="N24" s="7" t="n"/>
      <c r="O24" s="8">
        <f>IF(N24="","",K24*N24)</f>
        <v/>
      </c>
      <c r="P24" s="6" t="inlineStr">
        <is>
          <t>Pendiente</t>
        </is>
      </c>
      <c r="Q24" s="5" t="inlineStr">
        <is>
          <t>Si no hay 300k: 2 x 150k en serie</t>
        </is>
      </c>
    </row>
    <row r="25">
      <c r="A25" s="5" t="inlineStr">
        <is>
          <t>5 G2 + LPF A: MFB 500 Hz x125 (Q 0.54)</t>
        </is>
      </c>
      <c r="B25" s="5" t="inlineStr">
        <is>
          <t>Rm3</t>
        </is>
      </c>
      <c r="C25" s="5" t="inlineStr">
        <is>
          <t>Resistencia a la entrada inversora</t>
        </is>
      </c>
      <c r="D25" s="5" t="inlineStr">
        <is>
          <t>2.2k</t>
        </is>
      </c>
      <c r="E25" s="5" t="inlineStr">
        <is>
          <t>2.2k</t>
        </is>
      </c>
      <c r="F25" s="5" t="inlineStr">
        <is>
          <t>pelicula metalica 1 %</t>
        </is>
      </c>
      <c r="G25" s="5" t="n">
        <v>1</v>
      </c>
      <c r="H25" s="5" t="n">
        <v>3</v>
      </c>
      <c r="I25" s="5">
        <f>G25*H25</f>
        <v/>
      </c>
      <c r="J25" s="5" t="n">
        <v>1</v>
      </c>
      <c r="K25" s="5">
        <f>I25+J25</f>
        <v/>
      </c>
      <c r="L25" s="5" t="inlineStr">
        <is>
          <t>resistencia 2.2k 1%</t>
        </is>
      </c>
      <c r="M25" s="6" t="n"/>
      <c r="N25" s="7" t="n"/>
      <c r="O25" s="8">
        <f>IF(N25="","",K25*N25)</f>
        <v/>
      </c>
      <c r="P25" s="6" t="inlineStr">
        <is>
          <t>Pendiente</t>
        </is>
      </c>
      <c r="Q25" s="5" t="inlineStr"/>
    </row>
    <row r="26">
      <c r="A26" s="5" t="inlineStr">
        <is>
          <t>5 G2 + LPF A: MFB 500 Hz x125 (Q 0.54)</t>
        </is>
      </c>
      <c r="B26" s="5" t="inlineStr">
        <is>
          <t>Cm1</t>
        </is>
      </c>
      <c r="C26" s="5" t="inlineStr">
        <is>
          <t>Condensador a GND</t>
        </is>
      </c>
      <c r="D26" s="5" t="inlineStr">
        <is>
          <t>150n</t>
        </is>
      </c>
      <c r="E26" s="5" t="inlineStr">
        <is>
          <t>150n</t>
        </is>
      </c>
      <c r="F26" s="5" t="inlineStr">
        <is>
          <t>poliester 5 %</t>
        </is>
      </c>
      <c r="G26" s="5" t="n">
        <v>1</v>
      </c>
      <c r="H26" s="5" t="n">
        <v>3</v>
      </c>
      <c r="I26" s="5">
        <f>G26*H26</f>
        <v/>
      </c>
      <c r="J26" s="5" t="n">
        <v>1</v>
      </c>
      <c r="K26" s="5">
        <f>I26+J26</f>
        <v/>
      </c>
      <c r="L26" s="5" t="inlineStr">
        <is>
          <t>condensador poliester 150nF</t>
        </is>
      </c>
      <c r="M26" s="6" t="n"/>
      <c r="N26" s="7" t="n"/>
      <c r="O26" s="8">
        <f>IF(N26="","",K26*N26)</f>
        <v/>
      </c>
      <c r="P26" s="6" t="inlineStr">
        <is>
          <t>Pendiente</t>
        </is>
      </c>
      <c r="Q26" s="5" t="inlineStr"/>
    </row>
    <row r="27">
      <c r="A27" s="5" t="inlineStr">
        <is>
          <t>5 G2 + LPF A: MFB 500 Hz x125 (Q 0.54)</t>
        </is>
      </c>
      <c r="B27" s="5" t="inlineStr">
        <is>
          <t>Cm2</t>
        </is>
      </c>
      <c r="C27" s="5" t="inlineStr">
        <is>
          <t>Condensador de realimentacion</t>
        </is>
      </c>
      <c r="D27" s="5" t="inlineStr">
        <is>
          <t>1n</t>
        </is>
      </c>
      <c r="E27" s="5" t="inlineStr">
        <is>
          <t>1n</t>
        </is>
      </c>
      <c r="F27" s="5" t="inlineStr">
        <is>
          <t>ceramico C0G/NP0</t>
        </is>
      </c>
      <c r="G27" s="5" t="n">
        <v>1</v>
      </c>
      <c r="H27" s="5" t="n">
        <v>3</v>
      </c>
      <c r="I27" s="5">
        <f>G27*H27</f>
        <v/>
      </c>
      <c r="J27" s="5" t="n">
        <v>1</v>
      </c>
      <c r="K27" s="5">
        <f>I27+J27</f>
        <v/>
      </c>
      <c r="L27" s="5" t="inlineStr">
        <is>
          <t>condensador ceramico 1nF NP0</t>
        </is>
      </c>
      <c r="M27" s="6" t="n"/>
      <c r="N27" s="7" t="n"/>
      <c r="O27" s="8">
        <f>IF(N27="","",K27*N27)</f>
        <v/>
      </c>
      <c r="P27" s="6" t="inlineStr">
        <is>
          <t>Pendiente</t>
        </is>
      </c>
      <c r="Q27" s="5" t="inlineStr"/>
    </row>
    <row r="28">
      <c r="A28" s="5" t="inlineStr">
        <is>
          <t>5 G2 + LPF A: MFB 500 Hz x125 (Q 0.54)</t>
        </is>
      </c>
      <c r="B28" s="5" t="inlineStr">
        <is>
          <t>XMF</t>
        </is>
      </c>
      <c r="C28" s="5" t="inlineStr">
        <is>
          <t>seccion de op-amp</t>
        </is>
      </c>
      <c r="D28" s="5" t="inlineStr">
        <is>
          <t>-</t>
        </is>
      </c>
      <c r="E28" s="5" t="inlineStr">
        <is>
          <t>-</t>
        </is>
      </c>
      <c r="F28" s="5" t="inlineStr">
        <is>
          <t>-</t>
        </is>
      </c>
      <c r="G28" s="5" t="n"/>
      <c r="H28" s="5" t="n"/>
      <c r="I28" s="5" t="n"/>
      <c r="J28" s="5" t="n"/>
      <c r="K28" s="5" t="n"/>
      <c r="L28" s="5" t="inlineStr"/>
      <c r="M28" s="5" t="n"/>
      <c r="N28" s="8" t="n"/>
      <c r="O28" s="8" t="n"/>
      <c r="P28" s="5" t="n"/>
      <c r="Q28" s="5" t="inlineStr">
        <is>
          <t>Contada en el modulo 10 OP-AMPS</t>
        </is>
      </c>
    </row>
    <row r="29">
      <c r="A29" s="4" t="inlineStr">
        <is>
          <t>6 LPF Sallen-Key 500 Hz (Q 1.31)</t>
        </is>
      </c>
      <c r="B29" s="4" t="n"/>
      <c r="C29" s="4" t="inlineStr">
        <is>
          <t>por canal (x3)</t>
        </is>
      </c>
      <c r="D29" s="4" t="n"/>
      <c r="E29" s="4" t="n"/>
      <c r="F29" s="4" t="n"/>
      <c r="G29" s="4" t="n"/>
      <c r="H29" s="4" t="n"/>
      <c r="I29" s="4" t="n"/>
      <c r="J29" s="4" t="n"/>
      <c r="K29" s="4" t="n"/>
      <c r="L29" s="4" t="n"/>
      <c r="M29" s="4" t="n"/>
      <c r="N29" s="4" t="n"/>
      <c r="O29" s="4" t="n"/>
      <c r="P29" s="4" t="n"/>
      <c r="Q29" s="4" t="n"/>
    </row>
    <row r="30">
      <c r="A30" s="5" t="inlineStr">
        <is>
          <t>6 LPF Sallen-Key 500 Hz (Q 1.31)</t>
        </is>
      </c>
      <c r="B30" s="5" t="inlineStr">
        <is>
          <t>Rlb1, Rlb2</t>
        </is>
      </c>
      <c r="C30" s="5" t="inlineStr">
        <is>
          <t>Resistencia del LPF B</t>
        </is>
      </c>
      <c r="D30" s="5" t="inlineStr">
        <is>
          <t>54.9k</t>
        </is>
      </c>
      <c r="E30" s="5" t="inlineStr">
        <is>
          <t>56k</t>
        </is>
      </c>
      <c r="F30" s="5" t="inlineStr">
        <is>
          <t>pelicula metalica 1 %</t>
        </is>
      </c>
      <c r="G30" s="5" t="n">
        <v>2</v>
      </c>
      <c r="H30" s="5" t="n">
        <v>3</v>
      </c>
      <c r="I30" s="5">
        <f>G30*H30</f>
        <v/>
      </c>
      <c r="J30" s="5" t="n">
        <v>2</v>
      </c>
      <c r="K30" s="5">
        <f>I30+J30</f>
        <v/>
      </c>
      <c r="L30" s="5" t="inlineStr">
        <is>
          <t>resistencia 56k 1%</t>
        </is>
      </c>
      <c r="M30" s="6" t="n"/>
      <c r="N30" s="7" t="n"/>
      <c r="O30" s="8">
        <f>IF(N30="","",K30*N30)</f>
        <v/>
      </c>
      <c r="P30" s="6" t="inlineStr">
        <is>
          <t>Pendiente</t>
        </is>
      </c>
      <c r="Q30" s="5" t="inlineStr">
        <is>
          <t>Con 56k: f0 = 495 Hz</t>
        </is>
      </c>
    </row>
    <row r="31">
      <c r="A31" s="5" t="inlineStr">
        <is>
          <t>6 LPF Sallen-Key 500 Hz (Q 1.31)</t>
        </is>
      </c>
      <c r="B31" s="5" t="inlineStr">
        <is>
          <t>C21</t>
        </is>
      </c>
      <c r="C31" s="5" t="inlineStr">
        <is>
          <t>Condensador de realimentacion</t>
        </is>
      </c>
      <c r="D31" s="5" t="inlineStr">
        <is>
          <t>15n</t>
        </is>
      </c>
      <c r="E31" s="5" t="inlineStr">
        <is>
          <t>15n</t>
        </is>
      </c>
      <c r="F31" s="5" t="inlineStr">
        <is>
          <t>poliester 5 % o C0G</t>
        </is>
      </c>
      <c r="G31" s="5" t="n">
        <v>1</v>
      </c>
      <c r="H31" s="5" t="n">
        <v>3</v>
      </c>
      <c r="I31" s="5">
        <f>G31*H31</f>
        <v/>
      </c>
      <c r="J31" s="5" t="n">
        <v>1</v>
      </c>
      <c r="K31" s="5">
        <f>I31+J31</f>
        <v/>
      </c>
      <c r="L31" s="5" t="inlineStr">
        <is>
          <t>condensador poliester 15nF</t>
        </is>
      </c>
      <c r="M31" s="6" t="n"/>
      <c r="N31" s="7" t="n"/>
      <c r="O31" s="8">
        <f>IF(N31="","",K31*N31)</f>
        <v/>
      </c>
      <c r="P31" s="6" t="inlineStr">
        <is>
          <t>Pendiente</t>
        </is>
      </c>
      <c r="Q31" s="5" t="inlineStr"/>
    </row>
    <row r="32">
      <c r="A32" s="5" t="inlineStr">
        <is>
          <t>6 LPF Sallen-Key 500 Hz (Q 1.31)</t>
        </is>
      </c>
      <c r="B32" s="5" t="inlineStr">
        <is>
          <t>C22</t>
        </is>
      </c>
      <c r="C32" s="5" t="inlineStr">
        <is>
          <t>Condensador a GND</t>
        </is>
      </c>
      <c r="D32" s="5" t="inlineStr">
        <is>
          <t>2.2n</t>
        </is>
      </c>
      <c r="E32" s="5" t="inlineStr">
        <is>
          <t>2.2n</t>
        </is>
      </c>
      <c r="F32" s="5" t="inlineStr">
        <is>
          <t>poliester 5 % o C0G</t>
        </is>
      </c>
      <c r="G32" s="5" t="n">
        <v>1</v>
      </c>
      <c r="H32" s="5" t="n">
        <v>3</v>
      </c>
      <c r="I32" s="5">
        <f>G32*H32</f>
        <v/>
      </c>
      <c r="J32" s="5" t="n">
        <v>1</v>
      </c>
      <c r="K32" s="5">
        <f>I32+J32</f>
        <v/>
      </c>
      <c r="L32" s="5" t="inlineStr">
        <is>
          <t>condensador poliester 2.2nF</t>
        </is>
      </c>
      <c r="M32" s="6" t="n"/>
      <c r="N32" s="7" t="n"/>
      <c r="O32" s="8">
        <f>IF(N32="","",K32*N32)</f>
        <v/>
      </c>
      <c r="P32" s="6" t="inlineStr">
        <is>
          <t>Pendiente</t>
        </is>
      </c>
      <c r="Q32" s="5" t="inlineStr"/>
    </row>
    <row r="33">
      <c r="A33" s="5" t="inlineStr">
        <is>
          <t>6 LPF Sallen-Key 500 Hz (Q 1.31)</t>
        </is>
      </c>
      <c r="B33" s="5" t="inlineStr">
        <is>
          <t>XLB</t>
        </is>
      </c>
      <c r="C33" s="5" t="inlineStr">
        <is>
          <t>seccion de op-amp</t>
        </is>
      </c>
      <c r="D33" s="5" t="inlineStr">
        <is>
          <t>-</t>
        </is>
      </c>
      <c r="E33" s="5" t="inlineStr">
        <is>
          <t>-</t>
        </is>
      </c>
      <c r="F33" s="5" t="inlineStr">
        <is>
          <t>-</t>
        </is>
      </c>
      <c r="G33" s="5" t="n"/>
      <c r="H33" s="5" t="n"/>
      <c r="I33" s="5" t="n"/>
      <c r="J33" s="5" t="n"/>
      <c r="K33" s="5" t="n"/>
      <c r="L33" s="5" t="inlineStr"/>
      <c r="M33" s="5" t="n"/>
      <c r="N33" s="8" t="n"/>
      <c r="O33" s="8" t="n"/>
      <c r="P33" s="5" t="n"/>
      <c r="Q33" s="5" t="inlineStr">
        <is>
          <t>Contada en el modulo 10 OP-AMPS</t>
        </is>
      </c>
    </row>
    <row r="34">
      <c r="A34" s="4" t="inlineStr">
        <is>
          <t>7 BUCKET + SALIDA AL ADC</t>
        </is>
      </c>
      <c r="B34" s="4" t="n"/>
      <c r="C34" s="4" t="inlineStr">
        <is>
          <t>por canal (x3)</t>
        </is>
      </c>
      <c r="D34" s="4" t="n"/>
      <c r="E34" s="4" t="n"/>
      <c r="F34" s="4" t="n"/>
      <c r="G34" s="4" t="n"/>
      <c r="H34" s="4" t="n"/>
      <c r="I34" s="4" t="n"/>
      <c r="J34" s="4" t="n"/>
      <c r="K34" s="4" t="n"/>
      <c r="L34" s="4" t="n"/>
      <c r="M34" s="4" t="n"/>
      <c r="N34" s="4" t="n"/>
      <c r="O34" s="4" t="n"/>
      <c r="P34" s="4" t="n"/>
      <c r="Q34" s="4" t="n"/>
    </row>
    <row r="35">
      <c r="A35" s="5" t="inlineStr">
        <is>
          <t>7 BUCKET + SALIDA AL ADC</t>
        </is>
      </c>
      <c r="B35" s="5" t="inlineStr">
        <is>
          <t>Rbk</t>
        </is>
      </c>
      <c r="C35" s="5" t="inlineStr">
        <is>
          <t>Resistencia del bucket</t>
        </is>
      </c>
      <c r="D35" s="5" t="inlineStr">
        <is>
          <t>100</t>
        </is>
      </c>
      <c r="E35" s="5" t="inlineStr">
        <is>
          <t>100</t>
        </is>
      </c>
      <c r="F35" s="5" t="inlineStr">
        <is>
          <t>pelicula metalica 1 %</t>
        </is>
      </c>
      <c r="G35" s="5" t="n">
        <v>1</v>
      </c>
      <c r="H35" s="5" t="n">
        <v>3</v>
      </c>
      <c r="I35" s="5">
        <f>G35*H35</f>
        <v/>
      </c>
      <c r="J35" s="5" t="n">
        <v>1</v>
      </c>
      <c r="K35" s="5">
        <f>I35+J35</f>
        <v/>
      </c>
      <c r="L35" s="5" t="inlineStr">
        <is>
          <t>resistencia 100 ohm 1%</t>
        </is>
      </c>
      <c r="M35" s="6" t="n"/>
      <c r="N35" s="7" t="n"/>
      <c r="O35" s="8">
        <f>IF(N35="","",K35*N35)</f>
        <v/>
      </c>
      <c r="P35" s="6" t="inlineStr">
        <is>
          <t>Pendiente</t>
        </is>
      </c>
      <c r="Q35" s="5" t="inlineStr"/>
    </row>
    <row r="36">
      <c r="A36" s="5" t="inlineStr">
        <is>
          <t>7 BUCKET + SALIDA AL ADC</t>
        </is>
      </c>
      <c r="B36" s="5" t="inlineStr">
        <is>
          <t>Cbk</t>
        </is>
      </c>
      <c r="C36" s="5" t="inlineStr">
        <is>
          <t>Condensador del bucket</t>
        </is>
      </c>
      <c r="D36" s="5" t="inlineStr">
        <is>
          <t>1n</t>
        </is>
      </c>
      <c r="E36" s="5" t="inlineStr">
        <is>
          <t>1n</t>
        </is>
      </c>
      <c r="F36" s="5" t="inlineStr">
        <is>
          <t>ceramico C0G/NP0</t>
        </is>
      </c>
      <c r="G36" s="5" t="n">
        <v>1</v>
      </c>
      <c r="H36" s="5" t="n">
        <v>3</v>
      </c>
      <c r="I36" s="5">
        <f>G36*H36</f>
        <v/>
      </c>
      <c r="J36" s="5" t="n">
        <v>1</v>
      </c>
      <c r="K36" s="5">
        <f>I36+J36</f>
        <v/>
      </c>
      <c r="L36" s="5" t="inlineStr">
        <is>
          <t>condensador ceramico 1nF NP0</t>
        </is>
      </c>
      <c r="M36" s="6" t="n"/>
      <c r="N36" s="7" t="n"/>
      <c r="O36" s="8">
        <f>IF(N36="","",K36*N36)</f>
        <v/>
      </c>
      <c r="P36" s="6" t="inlineStr">
        <is>
          <t>Pendiente</t>
        </is>
      </c>
      <c r="Q36" s="5" t="inlineStr"/>
    </row>
    <row r="37">
      <c r="A37" s="5" t="inlineStr">
        <is>
          <t>7 BUCKET + SALIDA AL ADC</t>
        </is>
      </c>
      <c r="B37" s="5" t="inlineStr">
        <is>
          <t>ADCk</t>
        </is>
      </c>
      <c r="C37" s="5" t="inlineStr">
        <is>
          <t>Cable a Arduino A1..A3 del STM32N6570-DK</t>
        </is>
      </c>
      <c r="D37" s="5" t="inlineStr">
        <is>
          <t>-</t>
        </is>
      </c>
      <c r="E37" s="5" t="inlineStr">
        <is>
          <t>jumper Dupont</t>
        </is>
      </c>
      <c r="F37" s="5" t="inlineStr">
        <is>
          <t>-</t>
        </is>
      </c>
      <c r="G37" s="5" t="n">
        <v>1</v>
      </c>
      <c r="H37" s="5" t="n">
        <v>3</v>
      </c>
      <c r="I37" s="5">
        <f>G37*H37</f>
        <v/>
      </c>
      <c r="J37" s="5" t="n">
        <v>2</v>
      </c>
      <c r="K37" s="5">
        <f>I37+J37</f>
        <v/>
      </c>
      <c r="L37" s="5" t="inlineStr">
        <is>
          <t>cable dupont macho-macho</t>
        </is>
      </c>
      <c r="M37" s="6" t="n"/>
      <c r="N37" s="7" t="n"/>
      <c r="O37" s="8">
        <f>IF(N37="","",K37*N37)</f>
        <v/>
      </c>
      <c r="P37" s="6" t="inlineStr">
        <is>
          <t>Pendiente</t>
        </is>
      </c>
      <c r="Q37" s="5" t="inlineStr">
        <is>
          <t>CH1-A1 (PA9), CH2-A2 (PA10), CH3-A3 (PA12). Mas 1 cable de GND. A0 no: comparte ADC con USB1 ISENSE (UM3300)</t>
        </is>
      </c>
    </row>
    <row r="38">
      <c r="A38" s="4" t="inlineStr">
        <is>
          <t>8 VREF 1.65 V (compartido)</t>
        </is>
      </c>
      <c r="B38" s="4" t="n"/>
      <c r="C38" s="4" t="inlineStr">
        <is>
          <t>compartido</t>
        </is>
      </c>
      <c r="D38" s="4" t="n"/>
      <c r="E38" s="4" t="n"/>
      <c r="F38" s="4" t="n"/>
      <c r="G38" s="4" t="n"/>
      <c r="H38" s="4" t="n"/>
      <c r="I38" s="4" t="n"/>
      <c r="J38" s="4" t="n"/>
      <c r="K38" s="4" t="n"/>
      <c r="L38" s="4" t="n"/>
      <c r="M38" s="4" t="n"/>
      <c r="N38" s="4" t="n"/>
      <c r="O38" s="4" t="n"/>
      <c r="P38" s="4" t="n"/>
      <c r="Q38" s="4" t="n"/>
    </row>
    <row r="39">
      <c r="A39" s="5" t="inlineStr">
        <is>
          <t>8 VREF 1.65 V (compartido)</t>
        </is>
      </c>
      <c r="B39" s="5" t="inlineStr">
        <is>
          <t>RA1, RA2</t>
        </is>
      </c>
      <c r="C39" s="5" t="inlineStr">
        <is>
          <t>Divisor de VREF</t>
        </is>
      </c>
      <c r="D39" s="5" t="inlineStr">
        <is>
          <t>100k</t>
        </is>
      </c>
      <c r="E39" s="5" t="inlineStr">
        <is>
          <t>100k</t>
        </is>
      </c>
      <c r="F39" s="5" t="inlineStr">
        <is>
          <t>pelicula metalica 1 %</t>
        </is>
      </c>
      <c r="G39" s="5" t="n">
        <v>2</v>
      </c>
      <c r="H39" s="5" t="n">
        <v>1</v>
      </c>
      <c r="I39" s="5">
        <f>G39*H39</f>
        <v/>
      </c>
      <c r="J39" s="5" t="n">
        <v>0</v>
      </c>
      <c r="K39" s="5">
        <f>I39+J39</f>
        <v/>
      </c>
      <c r="L39" s="5" t="inlineStr">
        <is>
          <t>resistencia 100k 1%</t>
        </is>
      </c>
      <c r="M39" s="6" t="n"/>
      <c r="N39" s="7" t="n"/>
      <c r="O39" s="8">
        <f>IF(N39="","",K39*N39)</f>
        <v/>
      </c>
      <c r="P39" s="6" t="inlineStr">
        <is>
          <t>Pendiente</t>
        </is>
      </c>
      <c r="Q39" s="5" t="inlineStr"/>
    </row>
    <row r="40">
      <c r="A40" s="5" t="inlineStr">
        <is>
          <t>8 VREF 1.65 V (compartido)</t>
        </is>
      </c>
      <c r="B40" s="5" t="inlineStr">
        <is>
          <t>CA</t>
        </is>
      </c>
      <c r="C40" s="5" t="inlineStr">
        <is>
          <t>Condensador del divisor</t>
        </is>
      </c>
      <c r="D40" s="5" t="inlineStr">
        <is>
          <t>10u</t>
        </is>
      </c>
      <c r="E40" s="5" t="inlineStr">
        <is>
          <t>10u</t>
        </is>
      </c>
      <c r="F40" s="5" t="inlineStr">
        <is>
          <t>ceramico X7R o electrolitico</t>
        </is>
      </c>
      <c r="G40" s="5" t="n">
        <v>1</v>
      </c>
      <c r="H40" s="5" t="n">
        <v>1</v>
      </c>
      <c r="I40" s="5">
        <f>G40*H40</f>
        <v/>
      </c>
      <c r="J40" s="5" t="n">
        <v>0</v>
      </c>
      <c r="K40" s="5">
        <f>I40+J40</f>
        <v/>
      </c>
      <c r="L40" s="5" t="inlineStr">
        <is>
          <t>condensador 10uF</t>
        </is>
      </c>
      <c r="M40" s="6" t="n"/>
      <c r="N40" s="7" t="n"/>
      <c r="O40" s="8">
        <f>IF(N40="","",K40*N40)</f>
        <v/>
      </c>
      <c r="P40" s="6" t="inlineStr">
        <is>
          <t>Pendiente</t>
        </is>
      </c>
      <c r="Q40" s="5" t="inlineStr"/>
    </row>
    <row r="41">
      <c r="A41" s="5" t="inlineStr">
        <is>
          <t>8 VREF 1.65 V (compartido)</t>
        </is>
      </c>
      <c r="B41" s="5" t="inlineStr">
        <is>
          <t>XVR</t>
        </is>
      </c>
      <c r="C41" s="5" t="inlineStr">
        <is>
          <t>seccion de op-amp</t>
        </is>
      </c>
      <c r="D41" s="5" t="inlineStr">
        <is>
          <t>-</t>
        </is>
      </c>
      <c r="E41" s="5" t="inlineStr">
        <is>
          <t>-</t>
        </is>
      </c>
      <c r="F41" s="5" t="inlineStr">
        <is>
          <t>-</t>
        </is>
      </c>
      <c r="G41" s="5" t="n"/>
      <c r="H41" s="5" t="n"/>
      <c r="I41" s="5" t="n"/>
      <c r="J41" s="5" t="n"/>
      <c r="K41" s="5" t="n"/>
      <c r="L41" s="5" t="inlineStr"/>
      <c r="M41" s="5" t="n"/>
      <c r="N41" s="8" t="n"/>
      <c r="O41" s="8" t="n"/>
      <c r="P41" s="5" t="n"/>
      <c r="Q41" s="5" t="inlineStr">
        <is>
          <t>Contada en el modulo 10 OP-AMPS</t>
        </is>
      </c>
    </row>
    <row r="42">
      <c r="A42" s="4" t="inlineStr">
        <is>
          <t>9 RLD (compartido)</t>
        </is>
      </c>
      <c r="B42" s="4" t="n"/>
      <c r="C42" s="4" t="inlineStr">
        <is>
          <t>compartido</t>
        </is>
      </c>
      <c r="D42" s="4" t="n"/>
      <c r="E42" s="4" t="n"/>
      <c r="F42" s="4" t="n"/>
      <c r="G42" s="4" t="n"/>
      <c r="H42" s="4" t="n"/>
      <c r="I42" s="4" t="n"/>
      <c r="J42" s="4" t="n"/>
      <c r="K42" s="4" t="n"/>
      <c r="L42" s="4" t="n"/>
      <c r="M42" s="4" t="n"/>
      <c r="N42" s="4" t="n"/>
      <c r="O42" s="4" t="n"/>
      <c r="P42" s="4" t="n"/>
      <c r="Q42" s="4" t="n"/>
    </row>
    <row r="43">
      <c r="A43" s="5" t="inlineStr">
        <is>
          <t>9 RLD (compartido)</t>
        </is>
      </c>
      <c r="B43" s="5" t="inlineStr">
        <is>
          <t>RSM1..RSM3</t>
        </is>
      </c>
      <c r="C43" s="5" t="inlineStr">
        <is>
          <t>Sensado de modo comun (punto medio de RG)</t>
        </is>
      </c>
      <c r="D43" s="5" t="inlineStr">
        <is>
          <t>604k</t>
        </is>
      </c>
      <c r="E43" s="5" t="inlineStr">
        <is>
          <t>620k</t>
        </is>
      </c>
      <c r="F43" s="5" t="inlineStr">
        <is>
          <t>pelicula metalica 1 %</t>
        </is>
      </c>
      <c r="G43" s="5" t="n">
        <v>3</v>
      </c>
      <c r="H43" s="5" t="n">
        <v>1</v>
      </c>
      <c r="I43" s="5">
        <f>G43*H43</f>
        <v/>
      </c>
      <c r="J43" s="5" t="n">
        <v>1</v>
      </c>
      <c r="K43" s="5">
        <f>I43+J43</f>
        <v/>
      </c>
      <c r="L43" s="5" t="inlineStr">
        <is>
          <t>resistencia 620k 1%</t>
        </is>
      </c>
      <c r="M43" s="6" t="n"/>
      <c r="N43" s="7" t="n"/>
      <c r="O43" s="8">
        <f>IF(N43="","",K43*N43)</f>
        <v/>
      </c>
      <c r="P43" s="6" t="inlineStr">
        <is>
          <t>Pendiente</t>
        </is>
      </c>
      <c r="Q43" s="5" t="inlineStr"/>
    </row>
    <row r="44">
      <c r="A44" s="5" t="inlineStr">
        <is>
          <t>9 RLD (compartido)</t>
        </is>
      </c>
      <c r="B44" s="5" t="inlineStr">
        <is>
          <t>CINT</t>
        </is>
      </c>
      <c r="C44" s="5" t="inlineStr">
        <is>
          <t>Condensador del integrador</t>
        </is>
      </c>
      <c r="D44" s="5" t="inlineStr">
        <is>
          <t>1n</t>
        </is>
      </c>
      <c r="E44" s="5" t="inlineStr">
        <is>
          <t>1n</t>
        </is>
      </c>
      <c r="F44" s="5" t="inlineStr">
        <is>
          <t>ceramico C0G/NP0</t>
        </is>
      </c>
      <c r="G44" s="5" t="n">
        <v>1</v>
      </c>
      <c r="H44" s="5" t="n">
        <v>1</v>
      </c>
      <c r="I44" s="5">
        <f>G44*H44</f>
        <v/>
      </c>
      <c r="J44" s="5" t="n">
        <v>1</v>
      </c>
      <c r="K44" s="5">
        <f>I44+J44</f>
        <v/>
      </c>
      <c r="L44" s="5" t="inlineStr">
        <is>
          <t>condensador ceramico 1nF NP0</t>
        </is>
      </c>
      <c r="M44" s="6" t="n"/>
      <c r="N44" s="7" t="n"/>
      <c r="O44" s="8">
        <f>IF(N44="","",K44*N44)</f>
        <v/>
      </c>
      <c r="P44" s="6" t="inlineStr">
        <is>
          <t>Pendiente</t>
        </is>
      </c>
      <c r="Q44" s="5" t="inlineStr">
        <is>
          <t>Si oscila en banco: 2.2n</t>
        </is>
      </c>
    </row>
    <row r="45">
      <c r="A45" s="5" t="inlineStr">
        <is>
          <t>9 RLD (compartido)</t>
        </is>
      </c>
      <c r="B45" s="5" t="inlineStr">
        <is>
          <t>RPAR</t>
        </is>
      </c>
      <c r="C45" s="5" t="inlineStr">
        <is>
          <t>Resistencia en paralelo al integrador</t>
        </is>
      </c>
      <c r="D45" s="5" t="inlineStr">
        <is>
          <t>10M</t>
        </is>
      </c>
      <c r="E45" s="5" t="inlineStr">
        <is>
          <t>10M</t>
        </is>
      </c>
      <c r="F45" s="5" t="inlineStr">
        <is>
          <t>pelicula 5 %</t>
        </is>
      </c>
      <c r="G45" s="5" t="n">
        <v>1</v>
      </c>
      <c r="H45" s="5" t="n">
        <v>1</v>
      </c>
      <c r="I45" s="5">
        <f>G45*H45</f>
        <v/>
      </c>
      <c r="J45" s="5" t="n">
        <v>1</v>
      </c>
      <c r="K45" s="5">
        <f>I45+J45</f>
        <v/>
      </c>
      <c r="L45" s="5" t="inlineStr">
        <is>
          <t>resistencia 10M</t>
        </is>
      </c>
      <c r="M45" s="6" t="n"/>
      <c r="N45" s="7" t="n"/>
      <c r="O45" s="8">
        <f>IF(N45="","",K45*N45)</f>
        <v/>
      </c>
      <c r="P45" s="6" t="inlineStr">
        <is>
          <t>Pendiente</t>
        </is>
      </c>
      <c r="Q45" s="5" t="inlineStr"/>
    </row>
    <row r="46">
      <c r="A46" s="5" t="inlineStr">
        <is>
          <t>9 RLD (compartido)</t>
        </is>
      </c>
      <c r="B46" s="5" t="inlineStr">
        <is>
          <t>RLIM</t>
        </is>
      </c>
      <c r="C46" s="5" t="inlineStr">
        <is>
          <t>Resistencia de seguridad al electrodo RLD</t>
        </is>
      </c>
      <c r="D46" s="5" t="inlineStr">
        <is>
          <t>390k</t>
        </is>
      </c>
      <c r="E46" s="5" t="inlineStr">
        <is>
          <t>390k</t>
        </is>
      </c>
      <c r="F46" s="5" t="inlineStr">
        <is>
          <t>pelicula metalica 1 %</t>
        </is>
      </c>
      <c r="G46" s="5" t="n">
        <v>1</v>
      </c>
      <c r="H46" s="5" t="n">
        <v>1</v>
      </c>
      <c r="I46" s="5">
        <f>G46*H46</f>
        <v/>
      </c>
      <c r="J46" s="5" t="n">
        <v>1</v>
      </c>
      <c r="K46" s="5">
        <f>I46+J46</f>
        <v/>
      </c>
      <c r="L46" s="5" t="inlineStr">
        <is>
          <t>resistencia 390k 1%</t>
        </is>
      </c>
      <c r="M46" s="6" t="n"/>
      <c r="N46" s="7" t="n"/>
      <c r="O46" s="8">
        <f>IF(N46="","",K46*N46)</f>
        <v/>
      </c>
      <c r="P46" s="6" t="inlineStr">
        <is>
          <t>Pendiente</t>
        </is>
      </c>
      <c r="Q46" s="5" t="inlineStr">
        <is>
          <t>Limita la corriente al paciente</t>
        </is>
      </c>
    </row>
    <row r="47">
      <c r="A47" s="5" t="inlineStr">
        <is>
          <t>9 RLD (compartido)</t>
        </is>
      </c>
      <c r="B47" s="5" t="inlineStr">
        <is>
          <t>XRLD</t>
        </is>
      </c>
      <c r="C47" s="5" t="inlineStr">
        <is>
          <t>seccion de op-amp</t>
        </is>
      </c>
      <c r="D47" s="5" t="inlineStr">
        <is>
          <t>-</t>
        </is>
      </c>
      <c r="E47" s="5" t="inlineStr">
        <is>
          <t>-</t>
        </is>
      </c>
      <c r="F47" s="5" t="inlineStr">
        <is>
          <t>-</t>
        </is>
      </c>
      <c r="G47" s="5" t="n"/>
      <c r="H47" s="5" t="n"/>
      <c r="I47" s="5" t="n"/>
      <c r="J47" s="5" t="n"/>
      <c r="K47" s="5" t="n"/>
      <c r="L47" s="5" t="inlineStr"/>
      <c r="M47" s="5" t="n"/>
      <c r="N47" s="8" t="n"/>
      <c r="O47" s="8" t="n"/>
      <c r="P47" s="5" t="n"/>
      <c r="Q47" s="5" t="inlineStr">
        <is>
          <t>Contada en el modulo 10 OP-AMPS</t>
        </is>
      </c>
    </row>
    <row r="48">
      <c r="A48" s="4" t="inlineStr">
        <is>
          <t>10 OP-AMPS (paquetes)</t>
        </is>
      </c>
      <c r="B48" s="4" t="n"/>
      <c r="C48" s="4" t="inlineStr">
        <is>
          <t>compartido</t>
        </is>
      </c>
      <c r="D48" s="4" t="n"/>
      <c r="E48" s="4" t="n"/>
      <c r="F48" s="4" t="n"/>
      <c r="G48" s="4" t="n"/>
      <c r="H48" s="4" t="n"/>
      <c r="I48" s="4" t="n"/>
      <c r="J48" s="4" t="n"/>
      <c r="K48" s="4" t="n"/>
      <c r="L48" s="4" t="n"/>
      <c r="M48" s="4" t="n"/>
      <c r="N48" s="4" t="n"/>
      <c r="O48" s="4" t="n"/>
      <c r="P48" s="4" t="n"/>
      <c r="Q48" s="4" t="n"/>
    </row>
    <row r="49">
      <c r="A49" s="5" t="inlineStr">
        <is>
          <t>10 OP-AMPS (paquetes)</t>
        </is>
      </c>
      <c r="B49" s="5" t="inlineStr">
        <is>
          <t>XHP, XMF, XLB x3, XRLD, XVR</t>
        </is>
      </c>
      <c r="C49" s="5" t="inlineStr">
        <is>
          <t>Op-amp doble TS922AIYDT (Global 001-TS922)</t>
        </is>
      </c>
      <c r="D49" s="5" t="inlineStr">
        <is>
          <t>TS922</t>
        </is>
      </c>
      <c r="E49" s="5" t="inlineStr">
        <is>
          <t>TS922AIYDT</t>
        </is>
      </c>
      <c r="F49" s="5" t="inlineStr">
        <is>
          <t>SOIC-8</t>
        </is>
      </c>
      <c r="G49" s="5" t="n">
        <v>6</v>
      </c>
      <c r="H49" s="5" t="n">
        <v>1</v>
      </c>
      <c r="I49" s="5">
        <f>G49*H49</f>
        <v/>
      </c>
      <c r="J49" s="5" t="n">
        <v>0</v>
      </c>
      <c r="K49" s="5">
        <f>I49+J49</f>
        <v/>
      </c>
      <c r="L49" s="5" t="inlineStr">
        <is>
          <t>TS922AIYDT</t>
        </is>
      </c>
      <c r="M49" s="6" t="inlineStr">
        <is>
          <t>Global Electronica</t>
        </is>
      </c>
      <c r="N49" s="7" t="n"/>
      <c r="O49" s="8">
        <f>IF(N49="","",K49*N49)</f>
        <v/>
      </c>
      <c r="P49" s="6" t="inlineStr">
        <is>
          <t>Pendiente</t>
        </is>
      </c>
      <c r="Q49" s="5" t="inlineStr">
        <is>
          <t>11 secciones = 3 por canal x 3 + RLD + VREF (1 libre). Solo habia 6 en stock</t>
        </is>
      </c>
    </row>
    <row r="50">
      <c r="A50" s="5" t="inlineStr">
        <is>
          <t>10 OP-AMPS (paquetes)</t>
        </is>
      </c>
      <c r="B50" s="5" t="inlineStr">
        <is>
          <t>-</t>
        </is>
      </c>
      <c r="C50" s="5" t="inlineStr">
        <is>
          <t>Adaptador SOIC-8 a DIP-8</t>
        </is>
      </c>
      <c r="D50" s="5" t="inlineStr">
        <is>
          <t>-</t>
        </is>
      </c>
      <c r="E50" s="5" t="inlineStr">
        <is>
          <t>SOIC8 a DIP8</t>
        </is>
      </c>
      <c r="F50" s="5" t="inlineStr">
        <is>
          <t>PCB adaptador</t>
        </is>
      </c>
      <c r="G50" s="5" t="n">
        <v>6</v>
      </c>
      <c r="H50" s="5" t="n">
        <v>1</v>
      </c>
      <c r="I50" s="5">
        <f>G50*H50</f>
        <v/>
      </c>
      <c r="J50" s="5" t="n">
        <v>1</v>
      </c>
      <c r="K50" s="5">
        <f>I50+J50</f>
        <v/>
      </c>
      <c r="L50" s="5" t="inlineStr">
        <is>
          <t>adaptador SOIC8 a DIP8</t>
        </is>
      </c>
      <c r="M50" s="6" t="n"/>
      <c r="N50" s="7" t="n"/>
      <c r="O50" s="8">
        <f>IF(N50="","",K50*N50)</f>
        <v/>
      </c>
      <c r="P50" s="6" t="inlineStr">
        <is>
          <t>Pendiente</t>
        </is>
      </c>
      <c r="Q50" s="5" t="inlineStr">
        <is>
          <t>Soldar el TS922 al adaptador y probarlo antes de montarlo</t>
        </is>
      </c>
    </row>
    <row r="51">
      <c r="A51" s="5" t="inlineStr">
        <is>
          <t>10 OP-AMPS (paquetes)</t>
        </is>
      </c>
      <c r="B51" s="5" t="inlineStr">
        <is>
          <t>-</t>
        </is>
      </c>
      <c r="C51" s="5" t="inlineStr">
        <is>
          <t>Zocalo DIP-8</t>
        </is>
      </c>
      <c r="D51" s="5" t="inlineStr">
        <is>
          <t>-</t>
        </is>
      </c>
      <c r="E51" s="5" t="inlineStr">
        <is>
          <t>DIP-8</t>
        </is>
      </c>
      <c r="F51" s="5" t="inlineStr">
        <is>
          <t>zocalo</t>
        </is>
      </c>
      <c r="G51" s="5" t="n">
        <v>6</v>
      </c>
      <c r="H51" s="5" t="n">
        <v>1</v>
      </c>
      <c r="I51" s="5">
        <f>G51*H51</f>
        <v/>
      </c>
      <c r="J51" s="5" t="n">
        <v>1</v>
      </c>
      <c r="K51" s="5">
        <f>I51+J51</f>
        <v/>
      </c>
      <c r="L51" s="5" t="inlineStr">
        <is>
          <t>zocalo DIP 8 pines</t>
        </is>
      </c>
      <c r="M51" s="6" t="n"/>
      <c r="N51" s="7" t="n"/>
      <c r="O51" s="8">
        <f>IF(N51="","",K51*N51)</f>
        <v/>
      </c>
      <c r="P51" s="6" t="inlineStr">
        <is>
          <t>Pendiente</t>
        </is>
      </c>
      <c r="Q51" s="5" t="inlineStr"/>
    </row>
    <row r="52">
      <c r="A52" s="5" t="inlineStr">
        <is>
          <t>10 OP-AMPS (paquetes)</t>
        </is>
      </c>
      <c r="B52" s="5" t="inlineStr">
        <is>
          <t>-</t>
        </is>
      </c>
      <c r="C52" s="5" t="inlineStr">
        <is>
          <t>Desacople de cada op-amp</t>
        </is>
      </c>
      <c r="D52" s="5" t="inlineStr">
        <is>
          <t>100n</t>
        </is>
      </c>
      <c r="E52" s="5" t="inlineStr">
        <is>
          <t>100n</t>
        </is>
      </c>
      <c r="F52" s="5" t="inlineStr">
        <is>
          <t>ceramico X7R</t>
        </is>
      </c>
      <c r="G52" s="5" t="n">
        <v>6</v>
      </c>
      <c r="H52" s="5" t="n">
        <v>1</v>
      </c>
      <c r="I52" s="5">
        <f>G52*H52</f>
        <v/>
      </c>
      <c r="J52" s="5" t="n">
        <v>2</v>
      </c>
      <c r="K52" s="5">
        <f>I52+J52</f>
        <v/>
      </c>
      <c r="L52" s="5" t="inlineStr">
        <is>
          <t>condensador ceramico 100nF</t>
        </is>
      </c>
      <c r="M52" s="6" t="n"/>
      <c r="N52" s="7" t="n"/>
      <c r="O52" s="8">
        <f>IF(N52="","",K52*N52)</f>
        <v/>
      </c>
      <c r="P52" s="6" t="inlineStr">
        <is>
          <t>Pendiente</t>
        </is>
      </c>
      <c r="Q52" s="5" t="inlineStr">
        <is>
          <t>Pegado al pin de alimentacion</t>
        </is>
      </c>
    </row>
    <row r="53">
      <c r="A53" s="4" t="inlineStr">
        <is>
          <t>11 ALIMENTACION (5 V USB / powerbank -&gt; 3.3 V)</t>
        </is>
      </c>
      <c r="B53" s="4" t="n"/>
      <c r="C53" s="4" t="inlineStr">
        <is>
          <t>compartido</t>
        </is>
      </c>
      <c r="D53" s="4" t="n"/>
      <c r="E53" s="4" t="n"/>
      <c r="F53" s="4" t="n"/>
      <c r="G53" s="4" t="n"/>
      <c r="H53" s="4" t="n"/>
      <c r="I53" s="4" t="n"/>
      <c r="J53" s="4" t="n"/>
      <c r="K53" s="4" t="n"/>
      <c r="L53" s="4" t="n"/>
      <c r="M53" s="4" t="n"/>
      <c r="N53" s="4" t="n"/>
      <c r="O53" s="4" t="n"/>
      <c r="P53" s="4" t="n"/>
      <c r="Q53" s="4" t="n"/>
    </row>
    <row r="54">
      <c r="A54" s="5" t="inlineStr">
        <is>
          <t>11 ALIMENTACION (5 V USB / powerbank -&gt; 3.3 V)</t>
        </is>
      </c>
      <c r="B54" s="5" t="inlineStr">
        <is>
          <t>XLDO</t>
        </is>
      </c>
      <c r="C54" s="5" t="inlineStr">
        <is>
          <t>Regulador LDO 3.3 V TLV75733PDBVR (Global 014-75733)</t>
        </is>
      </c>
      <c r="D54" s="5" t="inlineStr">
        <is>
          <t>TLV75733P</t>
        </is>
      </c>
      <c r="E54" s="5" t="inlineStr">
        <is>
          <t>TLV75733PDBVR</t>
        </is>
      </c>
      <c r="F54" s="5" t="inlineStr">
        <is>
          <t>SOT-23-5</t>
        </is>
      </c>
      <c r="G54" s="5" t="n">
        <v>1</v>
      </c>
      <c r="H54" s="5" t="n">
        <v>1</v>
      </c>
      <c r="I54" s="5">
        <f>G54*H54</f>
        <v/>
      </c>
      <c r="J54" s="5" t="n">
        <v>1</v>
      </c>
      <c r="K54" s="5">
        <f>I54+J54</f>
        <v/>
      </c>
      <c r="L54" s="5" t="inlineStr">
        <is>
          <t>TLV75733PDBVR</t>
        </is>
      </c>
      <c r="M54" s="6" t="inlineStr">
        <is>
          <t>Global Electronica</t>
        </is>
      </c>
      <c r="N54" s="7" t="n"/>
      <c r="O54" s="8">
        <f>IF(N54="","",K54*N54)</f>
        <v/>
      </c>
      <c r="P54" s="6" t="inlineStr">
        <is>
          <t>Pendiente</t>
        </is>
      </c>
      <c r="Q54" s="5" t="inlineStr">
        <is>
          <t>Entrada 5 V desde el pin +5V del STM32N6570-DK (Arduino CN8). EN unido a IN</t>
        </is>
      </c>
    </row>
    <row r="55">
      <c r="A55" s="5" t="inlineStr">
        <is>
          <t>11 ALIMENTACION (5 V USB / powerbank -&gt; 3.3 V)</t>
        </is>
      </c>
      <c r="B55" s="5" t="inlineStr">
        <is>
          <t>-</t>
        </is>
      </c>
      <c r="C55" s="5" t="inlineStr">
        <is>
          <t>Adaptador SOT-23-5 a DIP</t>
        </is>
      </c>
      <c r="D55" s="5" t="inlineStr">
        <is>
          <t>-</t>
        </is>
      </c>
      <c r="E55" s="5" t="inlineStr">
        <is>
          <t>SOT23 a DIP</t>
        </is>
      </c>
      <c r="F55" s="5" t="inlineStr">
        <is>
          <t>PCB adaptador</t>
        </is>
      </c>
      <c r="G55" s="5" t="n">
        <v>1</v>
      </c>
      <c r="H55" s="5" t="n">
        <v>1</v>
      </c>
      <c r="I55" s="5">
        <f>G55*H55</f>
        <v/>
      </c>
      <c r="J55" s="5" t="n">
        <v>1</v>
      </c>
      <c r="K55" s="5">
        <f>I55+J55</f>
        <v/>
      </c>
      <c r="L55" s="5" t="inlineStr">
        <is>
          <t>adaptador SOT23 a DIP</t>
        </is>
      </c>
      <c r="M55" s="6" t="n"/>
      <c r="N55" s="7" t="n"/>
      <c r="O55" s="8">
        <f>IF(N55="","",K55*N55)</f>
        <v/>
      </c>
      <c r="P55" s="6" t="inlineStr">
        <is>
          <t>Pendiente</t>
        </is>
      </c>
      <c r="Q55" s="5" t="inlineStr">
        <is>
          <t>Para montar el TLV75733P en perfboard</t>
        </is>
      </c>
    </row>
    <row r="56">
      <c r="A56" s="5" t="inlineStr">
        <is>
          <t>11 ALIMENTACION (5 V USB / powerbank -&gt; 3.3 V)</t>
        </is>
      </c>
      <c r="B56" s="5" t="inlineStr">
        <is>
          <t>CLDOI, CLDOO</t>
        </is>
      </c>
      <c r="C56" s="5" t="inlineStr">
        <is>
          <t>Condensadores del LDO (entrada y salida)</t>
        </is>
      </c>
      <c r="D56" s="5" t="inlineStr">
        <is>
          <t>1u</t>
        </is>
      </c>
      <c r="E56" s="5" t="inlineStr">
        <is>
          <t>1u</t>
        </is>
      </c>
      <c r="F56" s="5" t="inlineStr">
        <is>
          <t>ceramico X7R</t>
        </is>
      </c>
      <c r="G56" s="5" t="n">
        <v>2</v>
      </c>
      <c r="H56" s="5" t="n">
        <v>1</v>
      </c>
      <c r="I56" s="5">
        <f>G56*H56</f>
        <v/>
      </c>
      <c r="J56" s="5" t="n">
        <v>1</v>
      </c>
      <c r="K56" s="5">
        <f>I56+J56</f>
        <v/>
      </c>
      <c r="L56" s="5" t="inlineStr">
        <is>
          <t>condensador ceramico 1uF</t>
        </is>
      </c>
      <c r="M56" s="6" t="n"/>
      <c r="N56" s="7" t="n"/>
      <c r="O56" s="8">
        <f>IF(N56="","",K56*N56)</f>
        <v/>
      </c>
      <c r="P56" s="6" t="inlineStr">
        <is>
          <t>Pendiente</t>
        </is>
      </c>
      <c r="Q56" s="5" t="inlineStr">
        <is>
          <t>Pegados a los pines del LDO</t>
        </is>
      </c>
    </row>
    <row r="57">
      <c r="A57" s="5" t="inlineStr">
        <is>
          <t>11 ALIMENTACION (5 V USB / powerbank -&gt; 3.3 V)</t>
        </is>
      </c>
      <c r="B57" s="5" t="inlineStr">
        <is>
          <t>CBULK</t>
        </is>
      </c>
      <c r="C57" s="5" t="inlineStr">
        <is>
          <t>Condensador bulk del riel 3.3 V</t>
        </is>
      </c>
      <c r="D57" s="5" t="inlineStr">
        <is>
          <t>10u</t>
        </is>
      </c>
      <c r="E57" s="5" t="inlineStr">
        <is>
          <t>10u</t>
        </is>
      </c>
      <c r="F57" s="5" t="inlineStr">
        <is>
          <t>ceramico o electrolitico</t>
        </is>
      </c>
      <c r="G57" s="5" t="n">
        <v>1</v>
      </c>
      <c r="H57" s="5" t="n">
        <v>1</v>
      </c>
      <c r="I57" s="5">
        <f>G57*H57</f>
        <v/>
      </c>
      <c r="J57" s="5" t="n">
        <v>1</v>
      </c>
      <c r="K57" s="5">
        <f>I57+J57</f>
        <v/>
      </c>
      <c r="L57" s="5" t="inlineStr">
        <is>
          <t>condensador 10uF</t>
        </is>
      </c>
      <c r="M57" s="6" t="n"/>
      <c r="N57" s="7" t="n"/>
      <c r="O57" s="8">
        <f>IF(N57="","",K57*N57)</f>
        <v/>
      </c>
      <c r="P57" s="6" t="inlineStr">
        <is>
          <t>Pendiente</t>
        </is>
      </c>
      <c r="Q57" s="5" t="inlineStr"/>
    </row>
    <row r="58">
      <c r="A58" s="5" t="inlineStr">
        <is>
          <t>11 ALIMENTACION (5 V USB / powerbank -&gt; 3.3 V)</t>
        </is>
      </c>
      <c r="B58" s="5" t="inlineStr">
        <is>
          <t>-</t>
        </is>
      </c>
      <c r="C58" s="5" t="inlineStr">
        <is>
          <t>Cable 5 V y GND desde el DK</t>
        </is>
      </c>
      <c r="D58" s="5" t="inlineStr">
        <is>
          <t>-</t>
        </is>
      </c>
      <c r="E58" s="5" t="inlineStr">
        <is>
          <t>jumper Dupont</t>
        </is>
      </c>
      <c r="F58" s="5" t="inlineStr">
        <is>
          <t>-</t>
        </is>
      </c>
      <c r="G58" s="5" t="n">
        <v>2</v>
      </c>
      <c r="H58" s="5" t="n">
        <v>1</v>
      </c>
      <c r="I58" s="5">
        <f>G58*H58</f>
        <v/>
      </c>
      <c r="J58" s="5" t="n">
        <v>1</v>
      </c>
      <c r="K58" s="5">
        <f>I58+J58</f>
        <v/>
      </c>
      <c r="L58" s="5" t="inlineStr">
        <is>
          <t>cable dupont macho-hembra</t>
        </is>
      </c>
      <c r="M58" s="6" t="n"/>
      <c r="N58" s="7" t="n"/>
      <c r="O58" s="8">
        <f>IF(N58="","",K58*N58)</f>
        <v/>
      </c>
      <c r="P58" s="6" t="inlineStr">
        <is>
          <t>Pendiente</t>
        </is>
      </c>
      <c r="Q58" s="5" t="inlineStr">
        <is>
          <t>Usar powerbank o PC a bateria mientras haya electrodos puestos (ver Notas de seguridad)</t>
        </is>
      </c>
    </row>
    <row r="59">
      <c r="A59" s="4" t="inlineStr">
        <is>
          <t>12 ELECTRODOS Y CONECTORES (7)</t>
        </is>
      </c>
      <c r="B59" s="4" t="n"/>
      <c r="C59" s="4" t="inlineStr">
        <is>
          <t>compartido</t>
        </is>
      </c>
      <c r="D59" s="4" t="n"/>
      <c r="E59" s="4" t="n"/>
      <c r="F59" s="4" t="n"/>
      <c r="G59" s="4" t="n"/>
      <c r="H59" s="4" t="n"/>
      <c r="I59" s="4" t="n"/>
      <c r="J59" s="4" t="n"/>
      <c r="K59" s="4" t="n"/>
      <c r="L59" s="4" t="n"/>
      <c r="M59" s="4" t="n"/>
      <c r="N59" s="4" t="n"/>
      <c r="O59" s="4" t="n"/>
      <c r="P59" s="4" t="n"/>
      <c r="Q59" s="4" t="n"/>
    </row>
    <row r="60">
      <c r="A60" s="5" t="inlineStr">
        <is>
          <t>12 ELECTRODOS Y CONECTORES (7)</t>
        </is>
      </c>
      <c r="B60" s="5" t="inlineStr">
        <is>
          <t>XE1P..XE3N, XER</t>
        </is>
      </c>
      <c r="C60" s="5" t="inlineStr">
        <is>
          <t>Electrodo Ag/AgCl con broche</t>
        </is>
      </c>
      <c r="D60" s="5" t="inlineStr">
        <is>
          <t>-</t>
        </is>
      </c>
      <c r="E60" s="5" t="inlineStr">
        <is>
          <t>3M Red Dot 2228/2560</t>
        </is>
      </c>
      <c r="F60" s="5" t="inlineStr">
        <is>
          <t>desechable</t>
        </is>
      </c>
      <c r="G60" s="5" t="n">
        <v>7</v>
      </c>
      <c r="H60" s="5" t="n">
        <v>1</v>
      </c>
      <c r="I60" s="5">
        <f>G60*H60</f>
        <v/>
      </c>
      <c r="J60" s="5" t="n">
        <v>43</v>
      </c>
      <c r="K60" s="5">
        <f>I60+J60</f>
        <v/>
      </c>
      <c r="L60" s="5" t="inlineStr">
        <is>
          <t>electrodo ECG 3M 2228</t>
        </is>
      </c>
      <c r="M60" s="6" t="n"/>
      <c r="N60" s="7" t="n"/>
      <c r="O60" s="8">
        <f>IF(N60="","",K60*N60)</f>
        <v/>
      </c>
      <c r="P60" s="6" t="inlineStr">
        <is>
          <t>Pendiente</t>
        </is>
      </c>
      <c r="Q60" s="5" t="inlineStr">
        <is>
          <t>7 por sesion (6 de senal + 1 RLD); caja de 50</t>
        </is>
      </c>
    </row>
    <row r="61">
      <c r="A61" s="5" t="inlineStr">
        <is>
          <t>12 ELECTRODOS Y CONECTORES (7)</t>
        </is>
      </c>
      <c r="B61" s="5" t="inlineStr">
        <is>
          <t>-</t>
        </is>
      </c>
      <c r="C61" s="5" t="inlineStr">
        <is>
          <t>Cable de electrodo con broche (snap) 4 mm, idealmente apantallado</t>
        </is>
      </c>
      <c r="D61" s="5" t="inlineStr">
        <is>
          <t>-</t>
        </is>
      </c>
      <c r="E61" s="5" t="inlineStr">
        <is>
          <t>broche 4 mm a pin</t>
        </is>
      </c>
      <c r="F61" s="5" t="inlineStr">
        <is>
          <t>-</t>
        </is>
      </c>
      <c r="G61" s="5" t="n">
        <v>7</v>
      </c>
      <c r="H61" s="5" t="n">
        <v>1</v>
      </c>
      <c r="I61" s="5">
        <f>G61*H61</f>
        <v/>
      </c>
      <c r="J61" s="5" t="n">
        <v>1</v>
      </c>
      <c r="K61" s="5">
        <f>I61+J61</f>
        <v/>
      </c>
      <c r="L61" s="5" t="inlineStr">
        <is>
          <t>cable electrodo broche snap</t>
        </is>
      </c>
      <c r="M61" s="6" t="n"/>
      <c r="N61" s="7" t="n"/>
      <c r="O61" s="8">
        <f>IF(N61="","",K61*N61)</f>
        <v/>
      </c>
      <c r="P61" s="6" t="inlineStr">
        <is>
          <t>Pendiente</t>
        </is>
      </c>
      <c r="Q61" s="5" t="inlineStr">
        <is>
          <t>Uno por electrodo; trenzar los dos de cada par</t>
        </is>
      </c>
    </row>
    <row r="62">
      <c r="A62" s="5" t="inlineStr">
        <is>
          <t>12 ELECTRODOS Y CONECTORES (7)</t>
        </is>
      </c>
      <c r="B62" s="5" t="inlineStr">
        <is>
          <t>-</t>
        </is>
      </c>
      <c r="C62" s="5" t="inlineStr">
        <is>
          <t>Conector en la placa para los 7 cables</t>
        </is>
      </c>
      <c r="D62" s="5" t="inlineStr">
        <is>
          <t>-</t>
        </is>
      </c>
      <c r="E62" s="5" t="inlineStr">
        <is>
          <t>header 2.54 mm 1x8 + hembra</t>
        </is>
      </c>
      <c r="F62" s="5" t="inlineStr">
        <is>
          <t>-</t>
        </is>
      </c>
      <c r="G62" s="5" t="n">
        <v>1</v>
      </c>
      <c r="H62" s="5" t="n">
        <v>1</v>
      </c>
      <c r="I62" s="5">
        <f>G62*H62</f>
        <v/>
      </c>
      <c r="J62" s="5" t="n">
        <v>1</v>
      </c>
      <c r="K62" s="5">
        <f>I62+J62</f>
        <v/>
      </c>
      <c r="L62" s="5" t="inlineStr">
        <is>
          <t>header 2.54mm 1x8 macho y hembra</t>
        </is>
      </c>
      <c r="M62" s="6" t="n"/>
      <c r="N62" s="7" t="n"/>
      <c r="O62" s="8">
        <f>IF(N62="","",K62*N62)</f>
        <v/>
      </c>
      <c r="P62" s="6" t="inlineStr">
        <is>
          <t>Pendiente</t>
        </is>
      </c>
      <c r="Q62" s="5" t="inlineStr">
        <is>
          <t>Orden sugerido: CH1+ CH1- CH2+ CH2- CH3+ CH3- RLD GND(malla). Alternativa: bornera de tornillo 2.54/3.5 mm</t>
        </is>
      </c>
    </row>
    <row r="63">
      <c r="A63" s="5" t="inlineStr">
        <is>
          <t>12 ELECTRODOS Y CONECTORES (7)</t>
        </is>
      </c>
      <c r="B63" s="5" t="inlineStr">
        <is>
          <t>-</t>
        </is>
      </c>
      <c r="C63" s="5" t="inlineStr">
        <is>
          <t>Alcohol isopropilico / gel</t>
        </is>
      </c>
      <c r="D63" s="5" t="inlineStr">
        <is>
          <t>-</t>
        </is>
      </c>
      <c r="E63" s="5" t="inlineStr">
        <is>
          <t>-</t>
        </is>
      </c>
      <c r="F63" s="5" t="inlineStr">
        <is>
          <t>-</t>
        </is>
      </c>
      <c r="G63" s="5" t="n">
        <v>1</v>
      </c>
      <c r="H63" s="5" t="n">
        <v>1</v>
      </c>
      <c r="I63" s="5">
        <f>G63*H63</f>
        <v/>
      </c>
      <c r="J63" s="5" t="n">
        <v>0</v>
      </c>
      <c r="K63" s="5">
        <f>I63+J63</f>
        <v/>
      </c>
      <c r="L63" s="5" t="inlineStr">
        <is>
          <t>alcohol isopropilico</t>
        </is>
      </c>
      <c r="M63" s="6" t="n"/>
      <c r="N63" s="7" t="n"/>
      <c r="O63" s="8">
        <f>IF(N63="","",K63*N63)</f>
        <v/>
      </c>
      <c r="P63" s="6" t="inlineStr">
        <is>
          <t>Pendiente</t>
        </is>
      </c>
      <c r="Q63" s="5" t="inlineStr">
        <is>
          <t>Preparar la piel</t>
        </is>
      </c>
    </row>
    <row r="64">
      <c r="A64" s="4" t="inlineStr">
        <is>
          <t>13 MECANICA E INTERCONEXION</t>
        </is>
      </c>
      <c r="B64" s="4" t="n"/>
      <c r="C64" s="4" t="inlineStr">
        <is>
          <t>compartido</t>
        </is>
      </c>
      <c r="D64" s="4" t="n"/>
      <c r="E64" s="4" t="n"/>
      <c r="F64" s="4" t="n"/>
      <c r="G64" s="4" t="n"/>
      <c r="H64" s="4" t="n"/>
      <c r="I64" s="4" t="n"/>
      <c r="J64" s="4" t="n"/>
      <c r="K64" s="4" t="n"/>
      <c r="L64" s="4" t="n"/>
      <c r="M64" s="4" t="n"/>
      <c r="N64" s="4" t="n"/>
      <c r="O64" s="4" t="n"/>
      <c r="P64" s="4" t="n"/>
      <c r="Q64" s="4" t="n"/>
    </row>
    <row r="65">
      <c r="A65" s="5" t="inlineStr">
        <is>
          <t>13 MECANICA E INTERCONEXION</t>
        </is>
      </c>
      <c r="B65" s="5" t="inlineStr">
        <is>
          <t>-</t>
        </is>
      </c>
      <c r="C65" s="5" t="inlineStr">
        <is>
          <t>Perfboard</t>
        </is>
      </c>
      <c r="D65" s="5" t="inlineStr">
        <is>
          <t>-</t>
        </is>
      </c>
      <c r="E65" s="5" t="inlineStr">
        <is>
          <t>10 x 15 cm</t>
        </is>
      </c>
      <c r="F65" s="5" t="inlineStr">
        <is>
          <t>fibra de vidrio</t>
        </is>
      </c>
      <c r="G65" s="5" t="n">
        <v>1</v>
      </c>
      <c r="H65" s="5" t="n">
        <v>1</v>
      </c>
      <c r="I65" s="5">
        <f>G65*H65</f>
        <v/>
      </c>
      <c r="J65" s="5" t="n">
        <v>1</v>
      </c>
      <c r="K65" s="5">
        <f>I65+J65</f>
        <v/>
      </c>
      <c r="L65" s="5" t="inlineStr">
        <is>
          <t>placa perforada 10x15</t>
        </is>
      </c>
      <c r="M65" s="6" t="n"/>
      <c r="N65" s="7" t="n"/>
      <c r="O65" s="8">
        <f>IF(N65="","",K65*N65)</f>
        <v/>
      </c>
      <c r="P65" s="6" t="inlineStr">
        <is>
          <t>Pendiente</t>
        </is>
      </c>
      <c r="Q65" s="5" t="inlineStr"/>
    </row>
    <row r="66">
      <c r="A66" s="5" t="inlineStr">
        <is>
          <t>13 MECANICA E INTERCONEXION</t>
        </is>
      </c>
      <c r="B66" s="5" t="inlineStr">
        <is>
          <t>-</t>
        </is>
      </c>
      <c r="C66" s="5" t="inlineStr">
        <is>
          <t>Tira de headers macho/hembra</t>
        </is>
      </c>
      <c r="D66" s="5" t="inlineStr">
        <is>
          <t>-</t>
        </is>
      </c>
      <c r="E66" s="5" t="inlineStr">
        <is>
          <t>2.54 mm</t>
        </is>
      </c>
      <c r="F66" s="5" t="inlineStr">
        <is>
          <t>-</t>
        </is>
      </c>
      <c r="G66" s="5" t="n">
        <v>2</v>
      </c>
      <c r="H66" s="5" t="n">
        <v>1</v>
      </c>
      <c r="I66" s="5">
        <f>G66*H66</f>
        <v/>
      </c>
      <c r="J66" s="5" t="n">
        <v>1</v>
      </c>
      <c r="K66" s="5">
        <f>I66+J66</f>
        <v/>
      </c>
      <c r="L66" s="5" t="inlineStr">
        <is>
          <t>header 2.54mm 40 pines</t>
        </is>
      </c>
      <c r="M66" s="6" t="n"/>
      <c r="N66" s="7" t="n"/>
      <c r="O66" s="8">
        <f>IF(N66="","",K66*N66)</f>
        <v/>
      </c>
      <c r="P66" s="6" t="inlineStr">
        <is>
          <t>Pendiente</t>
        </is>
      </c>
      <c r="Q66" s="5" t="inlineStr"/>
    </row>
    <row r="67">
      <c r="A67" s="5" t="inlineStr">
        <is>
          <t>13 MECANICA E INTERCONEXION</t>
        </is>
      </c>
      <c r="B67" s="5" t="inlineStr">
        <is>
          <t>-</t>
        </is>
      </c>
      <c r="C67" s="5" t="inlineStr">
        <is>
          <t>Cable para puentes</t>
        </is>
      </c>
      <c r="D67" s="5" t="inlineStr">
        <is>
          <t>-</t>
        </is>
      </c>
      <c r="E67" s="5" t="inlineStr">
        <is>
          <t>24 AWG rigido</t>
        </is>
      </c>
      <c r="F67" s="5" t="inlineStr">
        <is>
          <t>-</t>
        </is>
      </c>
      <c r="G67" s="5" t="n">
        <v>1</v>
      </c>
      <c r="H67" s="5" t="n">
        <v>1</v>
      </c>
      <c r="I67" s="5">
        <f>G67*H67</f>
        <v/>
      </c>
      <c r="J67" s="5" t="n">
        <v>0</v>
      </c>
      <c r="K67" s="5">
        <f>I67+J67</f>
        <v/>
      </c>
      <c r="L67" s="5" t="inlineStr">
        <is>
          <t>cable rigido 24 AWG</t>
        </is>
      </c>
      <c r="M67" s="6" t="n"/>
      <c r="N67" s="7" t="n"/>
      <c r="O67" s="8">
        <f>IF(N67="","",K67*N67)</f>
        <v/>
      </c>
      <c r="P67" s="6" t="inlineStr">
        <is>
          <t>Pendiente</t>
        </is>
      </c>
      <c r="Q67" s="5" t="inlineStr"/>
    </row>
    <row r="68">
      <c r="A68" s="4" t="inlineStr">
        <is>
          <t>14 MICROFONO DE REFERENCIA (I2S)</t>
        </is>
      </c>
      <c r="B68" s="4" t="n"/>
      <c r="C68" s="4" t="inlineStr">
        <is>
          <t>compartido</t>
        </is>
      </c>
      <c r="D68" s="4" t="n"/>
      <c r="E68" s="4" t="n"/>
      <c r="F68" s="4" t="n"/>
      <c r="G68" s="4" t="n"/>
      <c r="H68" s="4" t="n"/>
      <c r="I68" s="4" t="n"/>
      <c r="J68" s="4" t="n"/>
      <c r="K68" s="4" t="n"/>
      <c r="L68" s="4" t="n"/>
      <c r="M68" s="4" t="n"/>
      <c r="N68" s="4" t="n"/>
      <c r="O68" s="4" t="n"/>
      <c r="P68" s="4" t="n"/>
      <c r="Q68" s="4" t="n"/>
    </row>
    <row r="69">
      <c r="A69" s="5" t="inlineStr">
        <is>
          <t>14 MICROFONO DE REFERENCIA (I2S)</t>
        </is>
      </c>
      <c r="B69" s="5" t="inlineStr">
        <is>
          <t>-</t>
        </is>
      </c>
      <c r="C69" s="5" t="inlineStr">
        <is>
          <t>Modulo microfono digital INMP441 (I2S)</t>
        </is>
      </c>
      <c r="D69" s="5" t="inlineStr">
        <is>
          <t>-</t>
        </is>
      </c>
      <c r="E69" s="5" t="inlineStr">
        <is>
          <t>INMP441</t>
        </is>
      </c>
      <c r="F69" s="5" t="inlineStr">
        <is>
          <t>modulo</t>
        </is>
      </c>
      <c r="G69" s="5" t="n">
        <v>1</v>
      </c>
      <c r="H69" s="5" t="n">
        <v>1</v>
      </c>
      <c r="I69" s="5">
        <f>G69*H69</f>
        <v/>
      </c>
      <c r="J69" s="5" t="n">
        <v>1</v>
      </c>
      <c r="K69" s="5">
        <f>I69+J69</f>
        <v/>
      </c>
      <c r="L69" s="5" t="inlineStr">
        <is>
          <t>modulo microfono INMP441</t>
        </is>
      </c>
      <c r="M69" s="6" t="n"/>
      <c r="N69" s="7" t="n"/>
      <c r="O69" s="8">
        <f>IF(N69="","",K69*N69)</f>
        <v/>
      </c>
      <c r="P69" s="6" t="inlineStr">
        <is>
          <t>Pendiente</t>
        </is>
      </c>
      <c r="Q69" s="5" t="inlineStr">
        <is>
          <t>A SAI/I2S del STM32N6570-DK (pines por definir en CubeMX). Alternativa sin cableado: microfono MEMS PDM que trae el DK (U13)</t>
        </is>
      </c>
    </row>
    <row r="70">
      <c r="A70" s="5" t="inlineStr">
        <is>
          <t>14 MICROFONO DE REFERENCIA (I2S)</t>
        </is>
      </c>
      <c r="B70" s="5" t="inlineStr">
        <is>
          <t>-</t>
        </is>
      </c>
      <c r="C70" s="5" t="inlineStr">
        <is>
          <t>Cables Dupont para el microfono</t>
        </is>
      </c>
      <c r="D70" s="5" t="inlineStr">
        <is>
          <t>-</t>
        </is>
      </c>
      <c r="E70" s="5" t="inlineStr">
        <is>
          <t>jumper Dupont</t>
        </is>
      </c>
      <c r="F70" s="5" t="inlineStr">
        <is>
          <t>-</t>
        </is>
      </c>
      <c r="G70" s="5" t="n">
        <v>6</v>
      </c>
      <c r="H70" s="5" t="n">
        <v>1</v>
      </c>
      <c r="I70" s="5">
        <f>G70*H70</f>
        <v/>
      </c>
      <c r="J70" s="5" t="n">
        <v>0</v>
      </c>
      <c r="K70" s="5">
        <f>I70+J70</f>
        <v/>
      </c>
      <c r="L70" s="5" t="inlineStr">
        <is>
          <t>cable dupont hembra-hembra</t>
        </is>
      </c>
      <c r="M70" s="6" t="n"/>
      <c r="N70" s="7" t="n"/>
      <c r="O70" s="8">
        <f>IF(N70="","",K70*N70)</f>
        <v/>
      </c>
      <c r="P70" s="6" t="inlineStr">
        <is>
          <t>Pendiente</t>
        </is>
      </c>
      <c r="Q70" s="5" t="inlineStr">
        <is>
          <t>VDD 3.3V, GND, SCK, WS, SD, L/R (L/R a GND)</t>
        </is>
      </c>
    </row>
    <row r="72">
      <c r="N72" s="9" t="inlineStr">
        <is>
          <t>TOTAL</t>
        </is>
      </c>
      <c r="O72" s="10">
        <f>SUM(O5:O70)</f>
        <v/>
      </c>
    </row>
  </sheetData>
  <autoFilter ref="A4:Q70"/>
  <dataValidations count="1">
    <dataValidation sqref="P6 P7 P9 P10 P11 P13 P14 P15 P17 P18 P19 P22 P23 P24 P25 P26 P27 P30 P31 P32 P35 P36 P37 P39 P40 P43 P44 P45 P46 P49 P50 P51 P52 P54 P55 P56 P57 P58 P60 P61 P62 P63 P65 P66 P67 P69 P70" showDropDown="0" showInputMessage="0" showErrorMessage="0" allowBlank="1" type="list">
      <formula1>"Pendiente,Comprado,No hay,No aplica"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40" customWidth="1" min="1" max="1"/>
    <col width="10" customWidth="1" min="2" max="2"/>
    <col width="12" customWidth="1" min="3" max="3"/>
    <col width="16" customWidth="1" min="4" max="4"/>
  </cols>
  <sheetData>
    <row r="1">
      <c r="A1" s="1" t="inlineStr">
        <is>
          <t>Resumen por modulo</t>
        </is>
      </c>
    </row>
    <row r="3">
      <c r="A3" s="3" t="inlineStr">
        <is>
          <t>Modulo</t>
        </is>
      </c>
      <c r="B3" s="3" t="inlineStr">
        <is>
          <t>Items</t>
        </is>
      </c>
      <c r="C3" s="3" t="inlineStr">
        <is>
          <t>Pendientes</t>
        </is>
      </c>
      <c r="D3" s="3" t="inlineStr">
        <is>
          <t>Subtotal (CLP)</t>
        </is>
      </c>
    </row>
    <row r="4">
      <c r="A4" s="11" t="inlineStr">
        <is>
          <t>1 PROTECCION ESD</t>
        </is>
      </c>
      <c r="B4" s="11">
        <f>COUNTIFS('BoM por modulo'!$A$5:$A$70,A4,'BoM por modulo'!$P$5:$P$70,"&lt;&gt;")</f>
        <v/>
      </c>
      <c r="C4" s="11">
        <f>COUNTIFS('BoM por modulo'!$A$5:$A$70,A4,'BoM por modulo'!$P$5:$P$70,"Pendiente")</f>
        <v/>
      </c>
      <c r="D4" s="12">
        <f>SUMIF('BoM por modulo'!$A$5:$A$70,A4,'BoM por modulo'!$O$5:$O$70)</f>
        <v/>
      </c>
    </row>
    <row r="5">
      <c r="A5" s="11" t="inlineStr">
        <is>
          <t>2 FILTRO RFI</t>
        </is>
      </c>
      <c r="B5" s="11">
        <f>COUNTIFS('BoM por modulo'!$A$5:$A$70,A5,'BoM por modulo'!$P$5:$P$70,"&lt;&gt;")</f>
        <v/>
      </c>
      <c r="C5" s="11">
        <f>COUNTIFS('BoM por modulo'!$A$5:$A$70,A5,'BoM por modulo'!$P$5:$P$70,"Pendiente")</f>
        <v/>
      </c>
      <c r="D5" s="12">
        <f>SUMIF('BoM por modulo'!$A$5:$A$70,A5,'BoM por modulo'!$O$5:$O$70)</f>
        <v/>
      </c>
    </row>
    <row r="6">
      <c r="A6" s="11" t="inlineStr">
        <is>
          <t>3 AMPLIFICADOR DE INSTRUMENTACION</t>
        </is>
      </c>
      <c r="B6" s="11">
        <f>COUNTIFS('BoM por modulo'!$A$5:$A$70,A6,'BoM por modulo'!$P$5:$P$70,"&lt;&gt;")</f>
        <v/>
      </c>
      <c r="C6" s="11">
        <f>COUNTIFS('BoM por modulo'!$A$5:$A$70,A6,'BoM por modulo'!$P$5:$P$70,"Pendiente")</f>
        <v/>
      </c>
      <c r="D6" s="12">
        <f>SUMIF('BoM por modulo'!$A$5:$A$70,A6,'BoM por modulo'!$O$5:$O$70)</f>
        <v/>
      </c>
    </row>
    <row r="7">
      <c r="A7" s="11" t="inlineStr">
        <is>
          <t>4 HPF 20 Hz (Sallen-Key)</t>
        </is>
      </c>
      <c r="B7" s="11">
        <f>COUNTIFS('BoM por modulo'!$A$5:$A$70,A7,'BoM por modulo'!$P$5:$P$70,"&lt;&gt;")</f>
        <v/>
      </c>
      <c r="C7" s="11">
        <f>COUNTIFS('BoM por modulo'!$A$5:$A$70,A7,'BoM por modulo'!$P$5:$P$70,"Pendiente")</f>
        <v/>
      </c>
      <c r="D7" s="12">
        <f>SUMIF('BoM por modulo'!$A$5:$A$70,A7,'BoM por modulo'!$O$5:$O$70)</f>
        <v/>
      </c>
    </row>
    <row r="8">
      <c r="A8" s="11" t="inlineStr">
        <is>
          <t>5 G2 + LPF A: MFB 500 Hz x125 (Q 0.54)</t>
        </is>
      </c>
      <c r="B8" s="11">
        <f>COUNTIFS('BoM por modulo'!$A$5:$A$70,A8,'BoM por modulo'!$P$5:$P$70,"&lt;&gt;")</f>
        <v/>
      </c>
      <c r="C8" s="11">
        <f>COUNTIFS('BoM por modulo'!$A$5:$A$70,A8,'BoM por modulo'!$P$5:$P$70,"Pendiente")</f>
        <v/>
      </c>
      <c r="D8" s="12">
        <f>SUMIF('BoM por modulo'!$A$5:$A$70,A8,'BoM por modulo'!$O$5:$O$70)</f>
        <v/>
      </c>
    </row>
    <row r="9">
      <c r="A9" s="11" t="inlineStr">
        <is>
          <t>6 LPF Sallen-Key 500 Hz (Q 1.31)</t>
        </is>
      </c>
      <c r="B9" s="11">
        <f>COUNTIFS('BoM por modulo'!$A$5:$A$70,A9,'BoM por modulo'!$P$5:$P$70,"&lt;&gt;")</f>
        <v/>
      </c>
      <c r="C9" s="11">
        <f>COUNTIFS('BoM por modulo'!$A$5:$A$70,A9,'BoM por modulo'!$P$5:$P$70,"Pendiente")</f>
        <v/>
      </c>
      <c r="D9" s="12">
        <f>SUMIF('BoM por modulo'!$A$5:$A$70,A9,'BoM por modulo'!$O$5:$O$70)</f>
        <v/>
      </c>
    </row>
    <row r="10">
      <c r="A10" s="11" t="inlineStr">
        <is>
          <t>7 BUCKET + SALIDA AL ADC</t>
        </is>
      </c>
      <c r="B10" s="11">
        <f>COUNTIFS('BoM por modulo'!$A$5:$A$70,A10,'BoM por modulo'!$P$5:$P$70,"&lt;&gt;")</f>
        <v/>
      </c>
      <c r="C10" s="11">
        <f>COUNTIFS('BoM por modulo'!$A$5:$A$70,A10,'BoM por modulo'!$P$5:$P$70,"Pendiente")</f>
        <v/>
      </c>
      <c r="D10" s="12">
        <f>SUMIF('BoM por modulo'!$A$5:$A$70,A10,'BoM por modulo'!$O$5:$O$70)</f>
        <v/>
      </c>
    </row>
    <row r="11">
      <c r="A11" s="11" t="inlineStr">
        <is>
          <t>8 VREF 1.65 V (compartido)</t>
        </is>
      </c>
      <c r="B11" s="11">
        <f>COUNTIFS('BoM por modulo'!$A$5:$A$70,A11,'BoM por modulo'!$P$5:$P$70,"&lt;&gt;")</f>
        <v/>
      </c>
      <c r="C11" s="11">
        <f>COUNTIFS('BoM por modulo'!$A$5:$A$70,A11,'BoM por modulo'!$P$5:$P$70,"Pendiente")</f>
        <v/>
      </c>
      <c r="D11" s="12">
        <f>SUMIF('BoM por modulo'!$A$5:$A$70,A11,'BoM por modulo'!$O$5:$O$70)</f>
        <v/>
      </c>
    </row>
    <row r="12">
      <c r="A12" s="11" t="inlineStr">
        <is>
          <t>9 RLD (compartido)</t>
        </is>
      </c>
      <c r="B12" s="11">
        <f>COUNTIFS('BoM por modulo'!$A$5:$A$70,A12,'BoM por modulo'!$P$5:$P$70,"&lt;&gt;")</f>
        <v/>
      </c>
      <c r="C12" s="11">
        <f>COUNTIFS('BoM por modulo'!$A$5:$A$70,A12,'BoM por modulo'!$P$5:$P$70,"Pendiente")</f>
        <v/>
      </c>
      <c r="D12" s="12">
        <f>SUMIF('BoM por modulo'!$A$5:$A$70,A12,'BoM por modulo'!$O$5:$O$70)</f>
        <v/>
      </c>
    </row>
    <row r="13">
      <c r="A13" s="11" t="inlineStr">
        <is>
          <t>10 OP-AMPS (paquetes)</t>
        </is>
      </c>
      <c r="B13" s="11">
        <f>COUNTIFS('BoM por modulo'!$A$5:$A$70,A13,'BoM por modulo'!$P$5:$P$70,"&lt;&gt;")</f>
        <v/>
      </c>
      <c r="C13" s="11">
        <f>COUNTIFS('BoM por modulo'!$A$5:$A$70,A13,'BoM por modulo'!$P$5:$P$70,"Pendiente")</f>
        <v/>
      </c>
      <c r="D13" s="12">
        <f>SUMIF('BoM por modulo'!$A$5:$A$70,A13,'BoM por modulo'!$O$5:$O$70)</f>
        <v/>
      </c>
    </row>
    <row r="14">
      <c r="A14" s="11" t="inlineStr">
        <is>
          <t>11 ALIMENTACION (5 V USB / powerbank -&gt; 3.3 V)</t>
        </is>
      </c>
      <c r="B14" s="11">
        <f>COUNTIFS('BoM por modulo'!$A$5:$A$70,A14,'BoM por modulo'!$P$5:$P$70,"&lt;&gt;")</f>
        <v/>
      </c>
      <c r="C14" s="11">
        <f>COUNTIFS('BoM por modulo'!$A$5:$A$70,A14,'BoM por modulo'!$P$5:$P$70,"Pendiente")</f>
        <v/>
      </c>
      <c r="D14" s="12">
        <f>SUMIF('BoM por modulo'!$A$5:$A$70,A14,'BoM por modulo'!$O$5:$O$70)</f>
        <v/>
      </c>
    </row>
    <row r="15">
      <c r="A15" s="11" t="inlineStr">
        <is>
          <t>12 ELECTRODOS Y CONECTORES (7)</t>
        </is>
      </c>
      <c r="B15" s="11">
        <f>COUNTIFS('BoM por modulo'!$A$5:$A$70,A15,'BoM por modulo'!$P$5:$P$70,"&lt;&gt;")</f>
        <v/>
      </c>
      <c r="C15" s="11">
        <f>COUNTIFS('BoM por modulo'!$A$5:$A$70,A15,'BoM por modulo'!$P$5:$P$70,"Pendiente")</f>
        <v/>
      </c>
      <c r="D15" s="12">
        <f>SUMIF('BoM por modulo'!$A$5:$A$70,A15,'BoM por modulo'!$O$5:$O$70)</f>
        <v/>
      </c>
    </row>
    <row r="16">
      <c r="A16" s="11" t="inlineStr">
        <is>
          <t>13 MECANICA E INTERCONEXION</t>
        </is>
      </c>
      <c r="B16" s="11">
        <f>COUNTIFS('BoM por modulo'!$A$5:$A$70,A16,'BoM por modulo'!$P$5:$P$70,"&lt;&gt;")</f>
        <v/>
      </c>
      <c r="C16" s="11">
        <f>COUNTIFS('BoM por modulo'!$A$5:$A$70,A16,'BoM por modulo'!$P$5:$P$70,"Pendiente")</f>
        <v/>
      </c>
      <c r="D16" s="12">
        <f>SUMIF('BoM por modulo'!$A$5:$A$70,A16,'BoM por modulo'!$O$5:$O$70)</f>
        <v/>
      </c>
    </row>
    <row r="17">
      <c r="A17" s="11" t="inlineStr">
        <is>
          <t>14 MICROFONO DE REFERENCIA (I2S)</t>
        </is>
      </c>
      <c r="B17" s="11">
        <f>COUNTIFS('BoM por modulo'!$A$5:$A$70,A17,'BoM por modulo'!$P$5:$P$70,"&lt;&gt;")</f>
        <v/>
      </c>
      <c r="C17" s="11">
        <f>COUNTIFS('BoM por modulo'!$A$5:$A$70,A17,'BoM por modulo'!$P$5:$P$70,"Pendiente")</f>
        <v/>
      </c>
      <c r="D17" s="12">
        <f>SUMIF('BoM por modulo'!$A$5:$A$70,A17,'BoM por modulo'!$O$5:$O$70)</f>
        <v/>
      </c>
    </row>
    <row r="18">
      <c r="A18" s="13" t="inlineStr">
        <is>
          <t>TOTAL</t>
        </is>
      </c>
      <c r="B18" s="13">
        <f>SUM(B4:B17)</f>
        <v/>
      </c>
      <c r="C18" s="13">
        <f>SUM(C4:C17)</f>
        <v/>
      </c>
      <c r="D18" s="14">
        <f>SUM(D4:D17)</f>
        <v/>
      </c>
    </row>
    <row r="20">
      <c r="A20" s="2" t="inlineStr">
        <is>
          <t>El total solo suma las filas con precio. Llena el precio en la hoja BoM por modulo.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2"/>
  <sheetViews>
    <sheetView workbookViewId="0">
      <selection activeCell="A1" sqref="A1"/>
    </sheetView>
  </sheetViews>
  <sheetFormatPr baseColWidth="8" defaultRowHeight="15"/>
  <cols>
    <col width="30" customWidth="1" min="1" max="1"/>
    <col width="70" customWidth="1" min="2" max="2"/>
    <col width="60" customWidth="1" min="3" max="3"/>
  </cols>
  <sheetData>
    <row r="1">
      <c r="A1" s="1" t="inlineStr">
        <is>
          <t>Condiciones que debe cumplir cada circuito integrado (para elegir reemplazos)</t>
        </is>
      </c>
    </row>
    <row r="3">
      <c r="A3" s="4" t="inlineStr">
        <is>
          <t>OP-AMP (reemplazo del MCP6004): 22 secciones = HPF, G2, LPF A, LPF B y buffer en cada canal + RLD + VREF</t>
        </is>
      </c>
      <c r="B3" s="4" t="n"/>
      <c r="C3" s="4" t="n"/>
    </row>
    <row r="4">
      <c r="A4" s="3" t="inlineStr">
        <is>
          <t>Parametro</t>
        </is>
      </c>
      <c r="B4" s="3" t="inlineStr">
        <is>
          <t>Requisito</t>
        </is>
      </c>
      <c r="C4" s="3" t="inlineStr">
        <is>
          <t>Por que (en este diseno)</t>
        </is>
      </c>
    </row>
    <row r="5">
      <c r="A5" s="15" t="inlineStr">
        <is>
          <t>Alimentacion unica</t>
        </is>
      </c>
      <c r="B5" s="16" t="inlineStr">
        <is>
          <t>Funciona con 3.3 V: Vmin &lt;= 3.0 V (ideal &lt;= 2.7 V), Vmax &gt;= 3.6 V</t>
        </is>
      </c>
      <c r="C5" s="16" t="inlineStr">
        <is>
          <t>Todo el AFE vive en 3.3 V a bateria</t>
        </is>
      </c>
    </row>
    <row r="6">
      <c r="A6" s="15" t="inlineStr">
        <is>
          <t>Salida rail-to-rail</t>
        </is>
      </c>
      <c r="B6" s="16" t="inlineStr">
        <is>
          <t>Llega a &lt;= 0.1 V de cada riel con 10 kohm</t>
        </is>
      </c>
      <c r="C6" s="16" t="inlineStr">
        <is>
          <t>La salida va de 0 a 3.3 V centrada en 1.65 V. LM358/LM324 no suben de ~1.8 V con 3.3 V</t>
        </is>
      </c>
    </row>
    <row r="7">
      <c r="A7" s="15" t="inlineStr">
        <is>
          <t>Rango de entrada en modo comun</t>
        </is>
      </c>
      <c r="B7" s="16" t="inlineStr">
        <is>
          <t>Minimo 0.8-2.5 V (VREF +-0.85 V); ideal rail-to-rail</t>
        </is>
      </c>
      <c r="C7" s="16" t="inlineStr">
        <is>
          <t>En los filtros y buffers la entrada sigue a la salida</t>
        </is>
      </c>
    </row>
    <row r="8">
      <c r="A8" s="15" t="inlineStr">
        <is>
          <t>Producto ganancia-ancho de banda (GBW)</t>
        </is>
      </c>
      <c r="B8" s="16" t="inlineStr">
        <is>
          <t>&gt;= 0.5 MHz (ideal &gt;= 1 MHz)</t>
        </is>
      </c>
      <c r="C8" s="16" t="inlineStr">
        <is>
          <t>G2 = 125 hasta 500 Hz (necesita &gt;= 0.3 MHz; TS922 ~4 MHz) y LPF con Q = 1.3</t>
        </is>
      </c>
    </row>
    <row r="9">
      <c r="A9" s="15" t="inlineStr">
        <is>
          <t>Estable a ganancia 1</t>
        </is>
      </c>
      <c r="B9" s="16" t="inlineStr">
        <is>
          <t>Si</t>
        </is>
      </c>
      <c r="C9" s="16" t="inlineStr">
        <is>
          <t>HPF, LPF y buffers son seguidores</t>
        </is>
      </c>
    </row>
    <row r="10">
      <c r="A10" s="15" t="inlineStr">
        <is>
          <t>Corriente de polarizacion</t>
        </is>
      </c>
      <c r="B10" s="16" t="inlineStr">
        <is>
          <t>&lt;= 10 nA (entrada CMOS ideal)</t>
        </is>
      </c>
      <c r="C10" s="16" t="inlineStr">
        <is>
          <t>Resistencias de 56-240 kohm: 10 nA x 110k = 1.1 mV</t>
        </is>
      </c>
    </row>
    <row r="11">
      <c r="A11" s="15" t="inlineStr">
        <is>
          <t>Offset</t>
        </is>
      </c>
      <c r="B11" s="16" t="inlineStr">
        <is>
          <t>&lt;= 5 mV</t>
        </is>
      </c>
      <c r="C11" s="16" t="inlineStr">
        <is>
          <t>G2 tiene ganancia 1 en DC: el offset no se amplifica</t>
        </is>
      </c>
    </row>
    <row r="12">
      <c r="A12" s="15" t="inlineStr">
        <is>
          <t>Ruido de entrada</t>
        </is>
      </c>
      <c r="B12" s="16" t="inlineStr">
        <is>
          <t>&lt;= 40 nV/rtHz</t>
        </is>
      </c>
      <c r="C12" s="16" t="inlineStr">
        <is>
          <t>Va despues de G1 = 20: no domina</t>
        </is>
      </c>
    </row>
    <row r="13">
      <c r="A13" s="15" t="inlineStr">
        <is>
          <t>Consumo</t>
        </is>
      </c>
      <c r="B13" s="16" t="inlineStr">
        <is>
          <t>&lt;= 0.5 mA por amplificador</t>
        </is>
      </c>
      <c r="C13" s="16" t="inlineStr">
        <is>
          <t>Bateria</t>
        </is>
      </c>
    </row>
    <row r="14">
      <c r="A14" s="15" t="inlineStr">
        <is>
          <t>Encapsulado</t>
        </is>
      </c>
      <c r="B14" s="16" t="inlineStr">
        <is>
          <t>DIP-8/DIP-14, o SOIC con adaptador</t>
        </is>
      </c>
      <c r="C14" s="16" t="inlineStr">
        <is>
          <t>Perfboard</t>
        </is>
      </c>
    </row>
    <row r="15">
      <c r="A15" s="15" t="inlineStr">
        <is>
          <t>SI sirven</t>
        </is>
      </c>
      <c r="B15" s="16" t="inlineStr">
        <is>
          <t>MCP6004/MCP6002, MCP604/MCP602, MCP6024/MCP6022, TLV2374/TLV2372, OPA4340/OPA2340, OPA4344/OPA2344, AD8608/AD8606</t>
        </is>
      </c>
      <c r="C15" s="16" t="inlineStr"/>
    </row>
    <row r="16">
      <c r="A16" s="15" t="inlineStr">
        <is>
          <t>Con reservas</t>
        </is>
      </c>
      <c r="B16" s="16" t="inlineStr">
        <is>
          <t>LMV324/LMV358 (entrada solo hasta V+ - 0.8 V; alcanza para +-0.85 V; suelen ser SMD)</t>
        </is>
      </c>
      <c r="C16" s="16" t="inlineStr"/>
    </row>
    <row r="17">
      <c r="A17" s="15" t="inlineStr">
        <is>
          <t>NO sirven</t>
        </is>
      </c>
      <c r="B17" s="16" t="inlineStr">
        <is>
          <t>LM358, LM324, TL071/TL072/TL074, NE5532, LM741, LF347, JRC4558, LM833, TLC2272 (no llegan a los rieles con 3.3 V o necesitan mas voltaje)</t>
        </is>
      </c>
      <c r="C17" s="16" t="inlineStr"/>
    </row>
    <row r="19">
      <c r="A19" s="4" t="inlineStr">
        <is>
          <t>INA (amplificador de instrumentacion): 4 unidades, una por canal</t>
        </is>
      </c>
      <c r="B19" s="4" t="n"/>
      <c r="C19" s="4" t="n"/>
    </row>
    <row r="20">
      <c r="A20" s="3" t="inlineStr">
        <is>
          <t>Parametro</t>
        </is>
      </c>
      <c r="B20" s="3" t="inlineStr">
        <is>
          <t>Requisito</t>
        </is>
      </c>
      <c r="C20" s="3" t="inlineStr">
        <is>
          <t>Por que (en este diseno)</t>
        </is>
      </c>
    </row>
    <row r="21">
      <c r="A21" s="15" t="inlineStr">
        <is>
          <t>Alimentacion unica</t>
        </is>
      </c>
      <c r="B21" s="16" t="inlineStr">
        <is>
          <t>Funciona con 3.3 V: Vmin &lt;= 3.0 V</t>
        </is>
      </c>
      <c r="C21" s="16" t="inlineStr">
        <is>
          <t>Mismo riel que los op-amps</t>
        </is>
      </c>
    </row>
    <row r="22">
      <c r="A22" s="15" t="inlineStr">
        <is>
          <t>Salida</t>
        </is>
      </c>
      <c r="B22" s="16" t="inlineStr">
        <is>
          <t>Rail-to-rail, o al menos 0.2-3.1 V</t>
        </is>
      </c>
      <c r="C22" s="16" t="inlineStr">
        <is>
          <t>La salida se centra en VREF = 1.65 V</t>
        </is>
      </c>
    </row>
    <row r="23">
      <c r="A23" s="15" t="inlineStr">
        <is>
          <t>Rango de entrada en modo comun</t>
        </is>
      </c>
      <c r="B23" s="16" t="inlineStr">
        <is>
          <t>Debe incluir 1.4-1.9 V con alimentacion de 3.3 V</t>
        </is>
      </c>
      <c r="C23" s="16" t="inlineStr">
        <is>
          <t>El RLD mantiene el cuerpo en VREF = 1.65 V</t>
        </is>
      </c>
    </row>
    <row r="24">
      <c r="A24" s="15" t="inlineStr">
        <is>
          <t>Ganancia</t>
        </is>
      </c>
      <c r="B24" s="16" t="inlineStr">
        <is>
          <t>Fijada por una sola RG, con los dos pines de RG accesibles</t>
        </is>
      </c>
      <c r="C24" s="16" t="inlineStr">
        <is>
          <t>El RLD sensa el punto medio de RG. Un modulo con potenciometro obliga a reemplazarlo por 2 resistencias</t>
        </is>
      </c>
    </row>
    <row r="25">
      <c r="A25" s="15" t="inlineStr">
        <is>
          <t>Formula de ganancia</t>
        </is>
      </c>
      <c r="B25" s="16" t="inlineStr">
        <is>
          <t>G = 1 + 100k/RG: INA333, AD623, AD8226, INA826 (RG = 2 x 2.7k). INA122: G = 5 + 200k/RG. INA126: G = 5 + 80k/RG</t>
        </is>
      </c>
      <c r="C25" s="16" t="inlineStr">
        <is>
          <t>G1 objetivo ~20</t>
        </is>
      </c>
    </row>
    <row r="26">
      <c r="A26" s="15" t="inlineStr">
        <is>
          <t>CMRR</t>
        </is>
      </c>
      <c r="B26" s="16" t="inlineStr">
        <is>
          <t>&gt;= 90 dB a G = 20 (DC a 50 Hz)</t>
        </is>
      </c>
      <c r="C26" s="16" t="inlineStr">
        <is>
          <t>Rechazo del 50 Hz de la red</t>
        </is>
      </c>
    </row>
    <row r="27">
      <c r="A27" s="15" t="inlineStr">
        <is>
          <t>Corriente de polarizacion</t>
        </is>
      </c>
      <c r="B27" s="16" t="inlineStr">
        <is>
          <t>&lt;= 25 nA</t>
        </is>
      </c>
      <c r="C27" s="16" t="inlineStr">
        <is>
          <t>Con 100k de proteccion: &lt;= 2.5 mV de offset</t>
        </is>
      </c>
    </row>
    <row r="28">
      <c r="A28" s="15" t="inlineStr">
        <is>
          <t>Ruido de entrada</t>
        </is>
      </c>
      <c r="B28" s="16" t="inlineStr">
        <is>
          <t>&lt;= 50 nV/rtHz</t>
        </is>
      </c>
      <c r="C28" s="16" t="inlineStr">
        <is>
          <t>Senal sEMG de 25-50 uV RMS</t>
        </is>
      </c>
    </row>
    <row r="29">
      <c r="A29" s="15" t="inlineStr">
        <is>
          <t>Ancho de banda a G = 20</t>
        </is>
      </c>
      <c r="B29" s="16" t="inlineStr">
        <is>
          <t>&gt;= 5 kHz</t>
        </is>
      </c>
      <c r="C29" s="16" t="inlineStr">
        <is>
          <t>Banda util 20-500 Hz</t>
        </is>
      </c>
    </row>
    <row r="30">
      <c r="A30" s="15" t="inlineStr">
        <is>
          <t>Encapsulado</t>
        </is>
      </c>
      <c r="B30" s="16" t="inlineStr">
        <is>
          <t>DIP-8, o SOIC/MSOP con adaptador, o modulo con RG accesible</t>
        </is>
      </c>
      <c r="C30" s="16" t="inlineStr">
        <is>
          <t>Perfboard</t>
        </is>
      </c>
    </row>
    <row r="31">
      <c r="A31" s="15" t="inlineStr">
        <is>
          <t>SI sirven</t>
        </is>
      </c>
      <c r="B31" s="16" t="inlineStr">
        <is>
          <t>INA333 (ideal), AD8226, INA826</t>
        </is>
      </c>
      <c r="C31" s="16" t="inlineStr"/>
    </row>
    <row r="32">
      <c r="A32" s="15" t="inlineStr">
        <is>
          <t>Con reservas</t>
        </is>
      </c>
      <c r="B32" s="16" t="inlineStr">
        <is>
          <t>AD623 (modo comun max ~ Vs - 1.5 V = 1.8 V con 3.3 V: margen de 0.15 V sobre VREF); INA122/INA126 (recalcular RG)</t>
        </is>
      </c>
      <c r="C32" s="16" t="inlineStr">
        <is>
          <t>AD623AN DIP-8: 2 u por CLP 16.170 en Mercado Libre (30-sep-2026)</t>
        </is>
      </c>
    </row>
    <row r="33">
      <c r="A33" s="15" t="inlineStr">
        <is>
          <t>NO sirven</t>
        </is>
      </c>
      <c r="B33" s="16" t="inlineStr">
        <is>
          <t>AD620, INA128, INA129, INA114, INA118 (necesitan ~4.6 V o mas y no tienen salida rail-to-rail); AD8232 (frontend completo de 1 canal, choca con el RLD compartido)</t>
        </is>
      </c>
      <c r="C33" s="16" t="inlineStr"/>
    </row>
    <row r="35">
      <c r="A35" s="4" t="inlineStr">
        <is>
          <t>LDO 3.3 V (alimentacion del AFE)</t>
        </is>
      </c>
      <c r="B35" s="4" t="n"/>
      <c r="C35" s="4" t="n"/>
    </row>
    <row r="36">
      <c r="A36" s="3" t="inlineStr">
        <is>
          <t>Parametro</t>
        </is>
      </c>
      <c r="B36" s="3" t="inlineStr">
        <is>
          <t>Requisito</t>
        </is>
      </c>
      <c r="C36" s="3" t="inlineStr">
        <is>
          <t>Por que (en este diseno)</t>
        </is>
      </c>
    </row>
    <row r="37">
      <c r="A37" s="15" t="inlineStr">
        <is>
          <t>Salida</t>
        </is>
      </c>
      <c r="B37" s="16" t="inlineStr">
        <is>
          <t>3.3 V fija, &gt;= 50 mA</t>
        </is>
      </c>
      <c r="C37" s="16" t="inlineStr">
        <is>
          <t>AFE completo consume &lt; 10 mA</t>
        </is>
      </c>
    </row>
    <row r="38">
      <c r="A38" s="15" t="inlineStr">
        <is>
          <t>Entrada</t>
        </is>
      </c>
      <c r="B38" s="16" t="inlineStr">
        <is>
          <t>Hasta &gt;= 6 V; dropout &lt;= 0.3 V a 20 mA</t>
        </is>
      </c>
      <c r="C38" s="16" t="inlineStr">
        <is>
          <t>3 pilas AA = 4.5 V nueva, ~3.6 V gastada</t>
        </is>
      </c>
    </row>
    <row r="39">
      <c r="A39" s="15" t="inlineStr">
        <is>
          <t>Estabilidad</t>
        </is>
      </c>
      <c r="B39" s="16" t="inlineStr">
        <is>
          <t>Estable con condensadores ceramicos</t>
        </is>
      </c>
      <c r="C39" s="16" t="inlineStr"/>
    </row>
    <row r="40">
      <c r="A40" s="15" t="inlineStr">
        <is>
          <t>SI sirven</t>
        </is>
      </c>
      <c r="B40" s="16" t="inlineStr">
        <is>
          <t>MCP1700-3302E (TO-92), MCP1702-3302, LP2950-3.3, HT7333</t>
        </is>
      </c>
      <c r="C40" s="16" t="inlineStr">
        <is>
          <t>MCP1700: CLP 890 en hubot.cl</t>
        </is>
      </c>
    </row>
    <row r="41">
      <c r="A41" s="15" t="inlineStr">
        <is>
          <t>Con reservas</t>
        </is>
      </c>
      <c r="B41" s="16" t="inlineStr">
        <is>
          <t>AMS1117-3.3 (dropout ~1.1 V: usar 4 pilas AA)</t>
        </is>
      </c>
      <c r="C41" s="16" t="inlineStr"/>
    </row>
    <row r="42">
      <c r="A42" s="15" t="inlineStr">
        <is>
          <t>NO sirve</t>
        </is>
      </c>
      <c r="B42" s="16" t="inlineStr">
        <is>
          <t>El LDO de 3.0 V que ya tienes</t>
        </is>
      </c>
      <c r="C42" s="16"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18" customWidth="1" min="1" max="1"/>
    <col width="32" customWidth="1" min="2" max="2"/>
    <col width="40" customWidth="1" min="3" max="3"/>
    <col width="70" customWidth="1" min="4" max="4"/>
    <col width="22" customWidth="1" min="5" max="5"/>
  </cols>
  <sheetData>
    <row r="1">
      <c r="A1" s="1" t="inlineStr">
        <is>
          <t>Donde buscar (datos revisados el 30-sep-2026)</t>
        </is>
      </c>
    </row>
    <row r="3">
      <c r="A3" s="3" t="inlineStr">
        <is>
          <t>Tienda</t>
        </is>
      </c>
      <c r="B3" s="3" t="inlineStr">
        <is>
          <t>Ubicacion</t>
        </is>
      </c>
      <c r="C3" s="3" t="inlineStr">
        <is>
          <t>Modalidad</t>
        </is>
      </c>
      <c r="D3" s="3" t="inlineStr">
        <is>
          <t>Que tiene / buscar</t>
        </is>
      </c>
      <c r="E3" s="3" t="inlineStr">
        <is>
          <t>Web</t>
        </is>
      </c>
    </row>
    <row r="4">
      <c r="A4" s="16" t="inlineStr">
        <is>
          <t>Katode</t>
        </is>
      </c>
      <c r="B4" s="16" t="inlineStr">
        <is>
          <t>San Martin 133 E, Santiago Centro</t>
        </is>
      </c>
      <c r="C4" s="16" t="inlineStr">
        <is>
          <t>Retiro el mismo dia, L-V 9:30-14:00</t>
        </is>
      </c>
      <c r="D4" s="16" t="inlineStr">
        <is>
          <t>Pasivos, zocalos, perfboard. Op-amps solo clasicos (TL07x, NE5532): NO sirven</t>
        </is>
      </c>
      <c r="E4" s="16" t="inlineStr">
        <is>
          <t>katode.cl</t>
        </is>
      </c>
    </row>
    <row r="5">
      <c r="A5" s="16" t="inlineStr">
        <is>
          <t>HUBOT</t>
        </is>
      </c>
      <c r="B5" s="16" t="inlineStr">
        <is>
          <t>Santiago</t>
        </is>
      </c>
      <c r="C5" s="16" t="inlineStr">
        <is>
          <t>Despacho el mismo dia si se pide antes de las 12:30</t>
        </is>
      </c>
      <c r="D5" s="16" t="inlineStr">
        <is>
          <t>MCP1700-3302E (CLP 890)</t>
        </is>
      </c>
      <c r="E5" s="16" t="inlineStr">
        <is>
          <t>hubot.cl</t>
        </is>
      </c>
    </row>
    <row r="6">
      <c r="A6" s="16" t="inlineStr">
        <is>
          <t>MCI Electronics</t>
        </is>
      </c>
      <c r="B6" s="16" t="inlineStr">
        <is>
          <t>Santiago</t>
        </is>
      </c>
      <c r="C6" s="16" t="inlineStr">
        <is>
          <t>Retiro en tienda 8:30-17:30</t>
        </is>
      </c>
      <c r="D6" s="16" t="inlineStr">
        <is>
          <t>Kits de resistencias 1 %, modulos</t>
        </is>
      </c>
      <c r="E6" s="16" t="inlineStr">
        <is>
          <t>mcielectronics.cl</t>
        </is>
      </c>
    </row>
    <row r="7">
      <c r="A7" s="16" t="inlineStr">
        <is>
          <t>Afel</t>
        </is>
      </c>
      <c r="B7" s="16" t="inlineStr">
        <is>
          <t>Santiago</t>
        </is>
      </c>
      <c r="C7" s="16" t="inlineStr">
        <is>
          <t>Tienda y web</t>
        </is>
      </c>
      <c r="D7" s="16" t="inlineStr">
        <is>
          <t>Pasivos y kits</t>
        </is>
      </c>
      <c r="E7" s="16" t="inlineStr">
        <is>
          <t>afel.cl</t>
        </is>
      </c>
    </row>
    <row r="8">
      <c r="A8" s="16" t="inlineStr">
        <is>
          <t>MechatronicStore</t>
        </is>
      </c>
      <c r="B8" s="16" t="inlineStr">
        <is>
          <t>Curico</t>
        </is>
      </c>
      <c r="C8" s="16" t="inlineStr">
        <is>
          <t>Envio; gratis sobre CLP 19.990</t>
        </is>
      </c>
      <c r="D8" s="16" t="inlineStr">
        <is>
          <t>Modulo INA333 MCU-333 (CLP 6.790; RG es potenciometro), poliester</t>
        </is>
      </c>
      <c r="E8" s="16" t="inlineStr">
        <is>
          <t>mechatronicstore.cl</t>
        </is>
      </c>
    </row>
    <row r="9">
      <c r="A9" s="16" t="inlineStr">
        <is>
          <t>Mercado Libre</t>
        </is>
      </c>
      <c r="B9" s="16" t="inlineStr">
        <is>
          <t>-</t>
        </is>
      </c>
      <c r="C9" s="16" t="inlineStr">
        <is>
          <t>Filtrar "Llega hoy" y vendedores de Santiago</t>
        </is>
      </c>
      <c r="D9" s="16" t="inlineStr">
        <is>
          <t>AD623AN DIP-8 (2 u CLP 16.170), electrodos 3M 2228, cables con broche</t>
        </is>
      </c>
      <c r="E9" s="16" t="inlineStr">
        <is>
          <t>mercadolibre.cl</t>
        </is>
      </c>
    </row>
    <row r="10">
      <c r="A10" s="16" t="inlineStr">
        <is>
          <t>RS Chile</t>
        </is>
      </c>
      <c r="B10" s="16" t="inlineStr">
        <is>
          <t>-</t>
        </is>
      </c>
      <c r="C10" s="16" t="inlineStr">
        <is>
          <t>Web, plazos segun stock</t>
        </is>
      </c>
      <c r="D10" s="16" t="inlineStr">
        <is>
          <t>MCP6004-E/P CLP 809 c/IVA, minimo 30 u, sin stock al 30-sep</t>
        </is>
      </c>
      <c r="E10" s="16" t="inlineStr">
        <is>
          <t>cl.rsdelivers.com</t>
        </is>
      </c>
    </row>
    <row r="11">
      <c r="A11" s="16" t="inlineStr">
        <is>
          <t>Klinetix</t>
        </is>
      </c>
      <c r="B11" s="16" t="inlineStr">
        <is>
          <t>Santiago</t>
        </is>
      </c>
      <c r="C11" s="16" t="inlineStr">
        <is>
          <t>Despacho 1-2 dias habiles en RM</t>
        </is>
      </c>
      <c r="D11" s="16" t="inlineStr">
        <is>
          <t>Electrodos 3M 2228 caja de 50 (agotado al 30-sep)</t>
        </is>
      </c>
      <c r="E11" s="16" t="inlineStr">
        <is>
          <t>klinetix.cl</t>
        </is>
      </c>
    </row>
    <row r="12">
      <c r="A12" s="16" t="inlineStr">
        <is>
          <t>DigiKey / Mouser</t>
        </is>
      </c>
      <c r="B12" s="16" t="inlineStr">
        <is>
          <t>EE.UU.</t>
        </is>
      </c>
      <c r="C12" s="16" t="inlineStr">
        <is>
          <t>2-5 dias habiles, impuestos al recibir</t>
        </is>
      </c>
      <c r="D12" s="16" t="inlineStr">
        <is>
          <t>Cualquier IC de la lista SI sirven</t>
        </is>
      </c>
      <c r="E12" s="16" t="inlineStr">
        <is>
          <t>digikey.com / mouser.cl</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2026-10-03T23:55:11+00:00Z</dcterms:created>
  <dcterms:modified xmlns:dcterms="http://purl.org/dc/terms/" xmlns:xsi="http://www.w3.org/2001/XMLSchema-instance" xsi:type="dcterms:W3CDTF">2026-10-03T23:55:11+00:00Z</dcterms:modified>
</cp:coreProperties>
</file>